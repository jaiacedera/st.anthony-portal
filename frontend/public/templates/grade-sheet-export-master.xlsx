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eb70f0e164e9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NCM 118  GRP 3 BENNER " sheetId="22" r:id="R5ec0ab1d6c834c12"/>
  </sheets>
</workbook>
</file>

<file path=xl/sharedStrings.xml><?xml version="1.0" encoding="utf-8"?>
<sst xmlns="http://schemas.openxmlformats.org/spreadsheetml/2006/main">
  <si>
    <t xml:space="preserve">ST. ANTHONY COLLEGE</t>
  </si>
  <si>
    <t xml:space="preserve">Bayanan I, City of Calapan</t>
  </si>
  <si>
    <t xml:space="preserve">Doc. No.</t>
  </si>
  <si>
    <t xml:space="preserve">Date Effective</t>
  </si>
  <si>
    <t xml:space="preserve">Rev. No.</t>
  </si>
  <si>
    <t xml:space="preserve">Issue Status:</t>
  </si>
  <si>
    <t xml:space="preserve">NAME</t>
  </si>
  <si>
    <t xml:space="preserve">Knowledge 40%</t>
  </si>
  <si>
    <t xml:space="preserve">Skills 40%</t>
  </si>
  <si>
    <t xml:space="preserve">Attitude 20%</t>
  </si>
  <si>
    <t xml:space="preserve">Remarks</t>
  </si>
  <si>
    <t xml:space="preserve">Total </t>
  </si>
  <si>
    <t xml:space="preserve">Prepared by:</t>
  </si>
  <si>
    <t xml:space="preserve">Reviewed and Checked by:</t>
  </si>
  <si>
    <t xml:space="preserve">Submitted:</t>
  </si>
  <si>
    <t xml:space="preserve">CLINICAL INSTRUCTOR</t>
  </si>
  <si>
    <t xml:space="preserve">Dean, College of Nursing and Allied Health Courses</t>
  </si>
  <si>
    <t xml:space="preserve"> ACTING REGISTRAR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</si>
</sst>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_ "/>
  </numFmts>
  <fonts count="18">
    <font>
      <sz val="11"/>
      <color theme="1"/>
      <name val="Calibri"/>
    </font>
    <font>
      <sz val="10"/>
      <name val="Century Gothic"/>
    </font>
    <font>
      <i/>
      <sz val="10"/>
      <name val="Century Gothic"/>
    </font>
    <font>
      <b/>
      <sz val="10"/>
      <name val="Century Gothic"/>
    </font>
    <font>
      <sz val="12"/>
      <name val="Century Gothic"/>
    </font>
    <font>
      <b/>
      <sz val="14"/>
      <name val="Century Gothic"/>
    </font>
    <font>
      <b/>
      <sz val="11"/>
      <name val="Century Gothic"/>
    </font>
    <font>
      <sz val="11"/>
      <name val="Century Gothic"/>
    </font>
    <font>
      <b/>
      <sz val="12"/>
      <name val="Century Gothic"/>
    </font>
    <font>
      <b/>
      <sz val="9"/>
      <name val="Century Gothic"/>
    </font>
    <font>
      <b/>
      <sz val="8"/>
      <name val="Century Gothic"/>
    </font>
    <font>
      <sz val="10"/>
      <name val="Arial"/>
    </font>
    <font>
      <b/>
      <sz val="10"/>
      <name val="Arial"/>
    </font>
    <font>
      <b/>
      <sz val="10"/>
      <color theme="1"/>
      <name val="Century Gothic"/>
    </font>
    <font>
      <sz val="9"/>
      <name val="Century Gothic"/>
    </font>
    <font>
      <b/>
      <sz val="8"/>
      <name val="Arial"/>
    </font>
    <font>
      <sz val="12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</fills>
  <borders count="19">
    <border/>
    <border>
      <left style="thin">
        <color auto="1"/>
      </lef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top style="medium">
        <color auto="1"/>
      </top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bottom style="double">
        <color auto="1"/>
      </bottom>
    </border>
    <border>
      <right style="thin">
        <color auto="1"/>
      </right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</borders>
  <cellStyleXfs count="2">
    <xf numFmtId="0" fontId="0" fillId="0" borderId="0"/>
    <xf numFmtId="0" fontId="11" fillId="0" borderId="0"/>
  </cellStyleXfs>
  <cellXfs count="102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1" xfId="1" applyFont="1" applyBorder="1"/>
    <xf numFmtId="0" fontId="3" fillId="0" borderId="0" xfId="1" applyFont="1" applyAlignment="1">
      <alignment horizontal="center"/>
    </xf>
    <xf numFmtId="0" fontId="1" fillId="0" borderId="10" xfId="1" applyFont="1" applyBorder="1"/>
    <xf numFmtId="0" fontId="3" fillId="0" borderId="0" xfId="1" applyFont="1" applyAlignment="1">
      <alignment horizontal="left"/>
    </xf>
    <xf numFmtId="0" fontId="7" fillId="0" borderId="0" xfId="1" applyFont="1"/>
    <xf numFmtId="0" fontId="1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3" fillId="0" borderId="13" xfId="1" applyFont="1" applyBorder="1" applyAlignment="1">
      <alignment horizontal="center" vertical="center"/>
    </xf>
    <xf numFmtId="17" fontId="9" fillId="0" borderId="15" xfId="1" applyNumberFormat="1" applyFont="1" applyBorder="1" applyAlignment="1">
      <alignment horizontal="center" vertical="center" wrapText="1"/>
    </xf>
    <xf numFmtId="17" fontId="3" fillId="0" borderId="15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0" fillId="0" borderId="11" xfId="1" applyFont="1" applyBorder="1" applyAlignment="1">
      <alignment horizontal="center" vertical="justify"/>
    </xf>
    <xf numFmtId="0" fontId="3" fillId="0" borderId="11" xfId="1" applyFont="1" applyBorder="1" applyAlignment="1">
      <alignment horizontal="center" vertical="justify"/>
    </xf>
    <xf numFmtId="0" fontId="1" fillId="0" borderId="11" xfId="1" applyFont="1" applyBorder="1" applyAlignment="1">
      <alignment horizontal="center" vertical="justify"/>
    </xf>
    <xf numFmtId="0" fontId="10" fillId="0" borderId="11" xfId="1" applyFont="1" applyBorder="1" applyAlignment="1">
      <alignment horizontal="center" vertical="justify"/>
    </xf>
    <xf numFmtId="0" fontId="9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justify"/>
    </xf>
    <xf numFmtId="0" fontId="1" fillId="0" borderId="6" xfId="1" applyFont="1" applyBorder="1" applyAlignment="1">
      <alignment horizontal="center"/>
    </xf>
    <xf numFmtId="0" fontId="12" fillId="0" borderId="11" xfId="1" applyFont="1" applyBorder="1"/>
    <xf numFmtId="0" fontId="1" fillId="0" borderId="11" xfId="1" applyFont="1" applyBorder="1" applyAlignment="1">
      <alignment horizontal="center"/>
    </xf>
    <xf numFmtId="0" fontId="1" fillId="0" borderId="11" xfId="1" applyFont="1" applyBorder="1" applyAlignment="1">
      <alignment horizontal="center"/>
    </xf>
    <xf numFmtId="1" fontId="1" fillId="0" borderId="11" xfId="1" applyNumberFormat="1" applyFont="1" applyBorder="1" applyAlignment="1">
      <alignment horizontal="center"/>
    </xf>
    <xf numFmtId="0" fontId="1" fillId="0" borderId="11" xfId="1" applyFont="1" applyBorder="1" applyAlignment="1">
      <alignment horizontal="center"/>
    </xf>
    <xf numFmtId="0" fontId="12" fillId="0" borderId="0" xfId="1" applyFont="1"/>
    <xf numFmtId="2" fontId="1" fillId="0" borderId="11" xfId="1" applyNumberFormat="1" applyFont="1" applyBorder="1" applyAlignment="1">
      <alignment horizontal="center"/>
    </xf>
    <xf numFmtId="2" fontId="1" fillId="0" borderId="11" xfId="1" applyNumberFormat="1" applyFont="1" applyBorder="1" applyAlignment="1">
      <alignment horizontal="center"/>
    </xf>
    <xf numFmtId="0" fontId="1" fillId="0" borderId="0" xfId="1" applyFont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1" fontId="3" fillId="0" borderId="11" xfId="1" applyNumberFormat="1" applyFont="1" applyBorder="1" applyAlignment="1">
      <alignment horizontal="center"/>
    </xf>
    <xf numFmtId="2" fontId="13" fillId="0" borderId="11" xfId="1" applyNumberFormat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14" fillId="0" borderId="0" xfId="1" applyFont="1"/>
    <xf numFmtId="0" fontId="3" fillId="0" borderId="0" xfId="1" applyFont="1" applyAlignment="1">
      <alignment horizontal="center" vertical="top"/>
    </xf>
    <xf numFmtId="17" fontId="10" fillId="0" borderId="15" xfId="1" applyNumberFormat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5" fillId="0" borderId="11" xfId="1" applyFont="1" applyBorder="1"/>
    <xf numFmtId="165" fontId="1" fillId="0" borderId="11" xfId="1" applyNumberFormat="1" applyFont="1" applyBorder="1" applyAlignment="1">
      <alignment horizontal="center"/>
    </xf>
    <xf numFmtId="0" fontId="15" fillId="3" borderId="11" xfId="1" applyFont="1" applyFill="1" applyBorder="1"/>
    <xf numFmtId="0" fontId="15" fillId="0" borderId="15" xfId="1" applyFont="1" applyBorder="1"/>
    <xf numFmtId="0" fontId="15" fillId="0" borderId="18" xfId="1" applyFont="1" applyBorder="1"/>
    <xf numFmtId="0" fontId="1" fillId="3" borderId="11" xfId="1" applyFont="1" applyFill="1" applyBorder="1" applyAlignment="1">
      <alignment horizontal="center"/>
    </xf>
    <xf numFmtId="0" fontId="1" fillId="0" borderId="0" xfId="1" applyFont="1" applyAlignment="1">
      <alignment horizontal="center"/>
    </xf>
    <xf numFmtId="0" fontId="3" fillId="0" borderId="1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11" fillId="0" borderId="6" xfId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left"/>
    </xf>
    <xf numFmtId="0" fontId="3" fillId="0" borderId="1" xfId="1" applyFont="1" applyBorder="1" applyAlignment="1">
      <alignment horizontal="justify" vertical="center"/>
    </xf>
    <xf numFmtId="0" fontId="3" fillId="0" borderId="8" xfId="1" applyFont="1" applyBorder="1" applyAlignment="1">
      <alignment horizontal="justify" vertical="center"/>
    </xf>
    <xf numFmtId="0" fontId="3" fillId="0" borderId="9" xfId="1" applyFont="1" applyBorder="1" applyAlignment="1">
      <alignment horizontal="justify" vertical="center"/>
    </xf>
    <xf numFmtId="0" fontId="3" fillId="0" borderId="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8" xfId="1" applyFont="1" applyBorder="1" applyAlignment="1">
      <alignment horizontal="left"/>
    </xf>
    <xf numFmtId="0" fontId="7" fillId="0" borderId="9" xfId="1" applyFont="1" applyBorder="1" applyAlignment="1">
      <alignment horizontal="left"/>
    </xf>
    <xf numFmtId="0" fontId="3" fillId="0" borderId="0" xfId="1" applyFont="1" applyAlignment="1">
      <alignment horizontal="left" wrapText="1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1" fillId="0" borderId="6" xfId="1" applyFont="1" applyBorder="1" applyAlignment="1">
      <alignment horizontal="left"/>
    </xf>
    <xf numFmtId="0" fontId="1" fillId="0" borderId="7" xfId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0" fontId="1" fillId="0" borderId="8" xfId="1" applyFont="1" applyBorder="1" applyAlignment="1">
      <alignment horizontal="left"/>
    </xf>
    <xf numFmtId="0" fontId="1" fillId="0" borderId="9" xfId="1" applyFont="1" applyBorder="1" applyAlignment="1">
      <alignment horizontal="left"/>
    </xf>
    <xf numFmtId="0" fontId="14" fillId="0" borderId="0" xfId="1" applyFont="1" applyAlignment="1">
      <alignment horizontal="left"/>
    </xf>
  </cellXfs>
  <cellStyles count="2">
    <cellStyle name="Normal" xfId="0"/>
    <cellStyle name="Normal 2" xfId="1"/>
  </cellStyles>
  <dxfs count="2">
    <dxf>
      <font>
        <color indexed="10"/>
      </font>
    </dxf>
    <dxf>
      <font>
        <color indexed="10"/>
      </font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8d33486b94c9a" /><Relationship Type="http://schemas.openxmlformats.org/officeDocument/2006/relationships/theme" Target="/xl/theme/theme1.xml" Id="Rfbb5048f499b48db" /><Relationship Type="http://schemas.openxmlformats.org/officeDocument/2006/relationships/sharedStrings" Target="/xl/sharedStrings.xml" Id="R9c2c7c8f679e4e6a" /><Relationship Type="http://schemas.openxmlformats.org/officeDocument/2006/relationships/worksheet" Target="/xl/worksheets/sheet1.xml" Id="R5ec0ab1d6c834c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c0b2a9a3d744ba4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295275</xdr:colOff>
      <xdr:row>0</xdr:row>
      <xdr:rowOff>0</xdr:rowOff>
    </xdr:from>
    <xdr:to>
      <xdr:col>1</xdr:col>
      <xdr:colOff>1247775</xdr:colOff>
      <xdr:row>0</xdr:row>
      <xdr:rowOff>904875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0b2a9a3d744b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85c7267a994dcf" /></Relationships>
</file>

<file path=xl/worksheets/sheet1.xml><?xml version="1.0" encoding="utf-8"?>
<worksheet xmlns="http://schemas.openxmlformats.org/spreadsheetml/2006/main">
  <sheetFormatPr defaultColWidth="9" defaultRowHeight="15"/>
  <cols>
    <col min="1" max="1" width="4.5546875" style="4" customWidth="1"/>
    <col min="2" max="2" width="29.44140625" style="5" customWidth="1"/>
    <col min="3" max="3" width="5.33203125" style="5" customWidth="1"/>
    <col min="4" max="4" width="6.88671875" style="5" customWidth="1"/>
    <col min="5" max="5" width="5.44140625" style="5" customWidth="1"/>
    <col min="6" max="11" width="6.88671875" style="5" customWidth="1"/>
    <col min="12" max="12" width="6.5546875" style="5" customWidth="1"/>
    <col min="13" max="13" width="11.5546875" style="5" customWidth="1"/>
    <col min="14" max="14" width="11.33203125" style="5" customWidth="1"/>
    <col min="15" max="24" width="5.44140625" style="5" customWidth="1"/>
    <col min="25" max="25" width="6.5546875" style="5" customWidth="1"/>
    <col min="26" max="26" width="9.88671875" style="5" customWidth="1"/>
    <col min="27" max="27" width="11.44140625" style="5" customWidth="1"/>
    <col min="28" max="37" width="4.44140625" style="5" hidden="1" customWidth="1"/>
    <col min="38" max="38" width="5.44140625" style="5" customWidth="1"/>
    <col min="39" max="40" width="5.44140625" style="5" customWidth="1"/>
    <col min="41" max="41" width="6.5546875" style="5" customWidth="1"/>
    <col min="42" max="42" width="10.109375" style="5" customWidth="1"/>
    <col min="43" max="43" width="9.88671875" style="5" customWidth="1"/>
    <col min="44" max="44" width="12.44140625" style="5" customWidth="1"/>
    <col min="45" max="45" width="10" style="5" customWidth="1"/>
    <col min="46" max="46" width="11" style="5" customWidth="1"/>
    <col min="47" max="276" width="9" style="5" customWidth="0"/>
    <col min="277" max="277" width="4.5546875" style="5" customWidth="1"/>
    <col min="278" max="278" width="29.44140625" style="5" customWidth="1"/>
    <col min="279" max="284" width="9" style="5" hidden="1" customWidth="1"/>
    <col min="285" max="285" width="11.5546875" style="5" customWidth="1"/>
    <col min="286" max="286" width="11.33203125" style="5" customWidth="1"/>
    <col min="287" max="291" width="9" style="5" hidden="1" customWidth="1"/>
    <col min="292" max="292" width="9.88671875" style="5" customWidth="1"/>
    <col min="293" max="293" width="11.44140625" style="5" customWidth="1"/>
    <col min="294" max="297" width="9" style="5" hidden="1" customWidth="1"/>
    <col min="298" max="298" width="10.109375" style="5" customWidth="1"/>
    <col min="299" max="299" width="11.5546875" style="5" customWidth="1"/>
    <col min="300" max="300" width="12.44140625" style="5" customWidth="1"/>
    <col min="301" max="301" width="10" style="5" customWidth="1"/>
    <col min="302" max="302" width="11" style="5" customWidth="1"/>
    <col min="303" max="532" width="9" style="5" customWidth="0"/>
    <col min="533" max="533" width="4.5546875" style="5" customWidth="1"/>
    <col min="534" max="534" width="29.44140625" style="5" customWidth="1"/>
    <col min="535" max="540" width="9" style="5" hidden="1" customWidth="1"/>
    <col min="541" max="541" width="11.5546875" style="5" customWidth="1"/>
    <col min="542" max="542" width="11.33203125" style="5" customWidth="1"/>
    <col min="543" max="547" width="9" style="5" hidden="1" customWidth="1"/>
    <col min="548" max="548" width="9.88671875" style="5" customWidth="1"/>
    <col min="549" max="549" width="11.44140625" style="5" customWidth="1"/>
    <col min="550" max="553" width="9" style="5" hidden="1" customWidth="1"/>
    <col min="554" max="554" width="10.109375" style="5" customWidth="1"/>
    <col min="555" max="555" width="11.5546875" style="5" customWidth="1"/>
    <col min="556" max="556" width="12.44140625" style="5" customWidth="1"/>
    <col min="557" max="557" width="10" style="5" customWidth="1"/>
    <col min="558" max="558" width="11" style="5" customWidth="1"/>
    <col min="559" max="788" width="9" style="5" customWidth="0"/>
    <col min="789" max="789" width="4.5546875" style="5" customWidth="1"/>
    <col min="790" max="790" width="29.44140625" style="5" customWidth="1"/>
    <col min="791" max="796" width="9" style="5" hidden="1" customWidth="1"/>
    <col min="797" max="797" width="11.5546875" style="5" customWidth="1"/>
    <col min="798" max="798" width="11.33203125" style="5" customWidth="1"/>
    <col min="799" max="803" width="9" style="5" hidden="1" customWidth="1"/>
    <col min="804" max="804" width="9.88671875" style="5" customWidth="1"/>
    <col min="805" max="805" width="11.44140625" style="5" customWidth="1"/>
    <col min="806" max="809" width="9" style="5" hidden="1" customWidth="1"/>
    <col min="810" max="810" width="10.109375" style="5" customWidth="1"/>
    <col min="811" max="811" width="11.5546875" style="5" customWidth="1"/>
    <col min="812" max="812" width="12.44140625" style="5" customWidth="1"/>
    <col min="813" max="813" width="10" style="5" customWidth="1"/>
    <col min="814" max="814" width="11" style="5" customWidth="1"/>
    <col min="815" max="1044" width="9" style="5" customWidth="0"/>
    <col min="1045" max="1045" width="4.5546875" style="5" customWidth="1"/>
    <col min="1046" max="1046" width="29.44140625" style="5" customWidth="1"/>
    <col min="1047" max="1052" width="9" style="5" hidden="1" customWidth="1"/>
    <col min="1053" max="1053" width="11.5546875" style="5" customWidth="1"/>
    <col min="1054" max="1054" width="11.33203125" style="5" customWidth="1"/>
    <col min="1055" max="1059" width="9" style="5" hidden="1" customWidth="1"/>
    <col min="1060" max="1060" width="9.88671875" style="5" customWidth="1"/>
    <col min="1061" max="1061" width="11.44140625" style="5" customWidth="1"/>
    <col min="1062" max="1065" width="9" style="5" hidden="1" customWidth="1"/>
    <col min="1066" max="1066" width="10.109375" style="5" customWidth="1"/>
    <col min="1067" max="1067" width="11.5546875" style="5" customWidth="1"/>
    <col min="1068" max="1068" width="12.44140625" style="5" customWidth="1"/>
    <col min="1069" max="1069" width="10" style="5" customWidth="1"/>
    <col min="1070" max="1070" width="11" style="5" customWidth="1"/>
    <col min="1071" max="1300" width="9" style="5" customWidth="0"/>
    <col min="1301" max="1301" width="4.5546875" style="5" customWidth="1"/>
    <col min="1302" max="1302" width="29.44140625" style="5" customWidth="1"/>
    <col min="1303" max="1308" width="9" style="5" hidden="1" customWidth="1"/>
    <col min="1309" max="1309" width="11.5546875" style="5" customWidth="1"/>
    <col min="1310" max="1310" width="11.33203125" style="5" customWidth="1"/>
    <col min="1311" max="1315" width="9" style="5" hidden="1" customWidth="1"/>
    <col min="1316" max="1316" width="9.88671875" style="5" customWidth="1"/>
    <col min="1317" max="1317" width="11.44140625" style="5" customWidth="1"/>
    <col min="1318" max="1321" width="9" style="5" hidden="1" customWidth="1"/>
    <col min="1322" max="1322" width="10.109375" style="5" customWidth="1"/>
    <col min="1323" max="1323" width="11.5546875" style="5" customWidth="1"/>
    <col min="1324" max="1324" width="12.44140625" style="5" customWidth="1"/>
    <col min="1325" max="1325" width="10" style="5" customWidth="1"/>
    <col min="1326" max="1326" width="11" style="5" customWidth="1"/>
    <col min="1327" max="1556" width="9" style="5" customWidth="0"/>
    <col min="1557" max="1557" width="4.5546875" style="5" customWidth="1"/>
    <col min="1558" max="1558" width="29.44140625" style="5" customWidth="1"/>
    <col min="1559" max="1564" width="9" style="5" hidden="1" customWidth="1"/>
    <col min="1565" max="1565" width="11.5546875" style="5" customWidth="1"/>
    <col min="1566" max="1566" width="11.33203125" style="5" customWidth="1"/>
    <col min="1567" max="1571" width="9" style="5" hidden="1" customWidth="1"/>
    <col min="1572" max="1572" width="9.88671875" style="5" customWidth="1"/>
    <col min="1573" max="1573" width="11.44140625" style="5" customWidth="1"/>
    <col min="1574" max="1577" width="9" style="5" hidden="1" customWidth="1"/>
    <col min="1578" max="1578" width="10.109375" style="5" customWidth="1"/>
    <col min="1579" max="1579" width="11.5546875" style="5" customWidth="1"/>
    <col min="1580" max="1580" width="12.44140625" style="5" customWidth="1"/>
    <col min="1581" max="1581" width="10" style="5" customWidth="1"/>
    <col min="1582" max="1582" width="11" style="5" customWidth="1"/>
    <col min="1583" max="1812" width="9" style="5" customWidth="0"/>
    <col min="1813" max="1813" width="4.5546875" style="5" customWidth="1"/>
    <col min="1814" max="1814" width="29.44140625" style="5" customWidth="1"/>
    <col min="1815" max="1820" width="9" style="5" hidden="1" customWidth="1"/>
    <col min="1821" max="1821" width="11.5546875" style="5" customWidth="1"/>
    <col min="1822" max="1822" width="11.33203125" style="5" customWidth="1"/>
    <col min="1823" max="1827" width="9" style="5" hidden="1" customWidth="1"/>
    <col min="1828" max="1828" width="9.88671875" style="5" customWidth="1"/>
    <col min="1829" max="1829" width="11.44140625" style="5" customWidth="1"/>
    <col min="1830" max="1833" width="9" style="5" hidden="1" customWidth="1"/>
    <col min="1834" max="1834" width="10.109375" style="5" customWidth="1"/>
    <col min="1835" max="1835" width="11.5546875" style="5" customWidth="1"/>
    <col min="1836" max="1836" width="12.44140625" style="5" customWidth="1"/>
    <col min="1837" max="1837" width="10" style="5" customWidth="1"/>
    <col min="1838" max="1838" width="11" style="5" customWidth="1"/>
    <col min="1839" max="2068" width="9" style="5" customWidth="0"/>
    <col min="2069" max="2069" width="4.5546875" style="5" customWidth="1"/>
    <col min="2070" max="2070" width="29.44140625" style="5" customWidth="1"/>
    <col min="2071" max="2076" width="9" style="5" hidden="1" customWidth="1"/>
    <col min="2077" max="2077" width="11.5546875" style="5" customWidth="1"/>
    <col min="2078" max="2078" width="11.33203125" style="5" customWidth="1"/>
    <col min="2079" max="2083" width="9" style="5" hidden="1" customWidth="1"/>
    <col min="2084" max="2084" width="9.88671875" style="5" customWidth="1"/>
    <col min="2085" max="2085" width="11.44140625" style="5" customWidth="1"/>
    <col min="2086" max="2089" width="9" style="5" hidden="1" customWidth="1"/>
    <col min="2090" max="2090" width="10.109375" style="5" customWidth="1"/>
    <col min="2091" max="2091" width="11.5546875" style="5" customWidth="1"/>
    <col min="2092" max="2092" width="12.44140625" style="5" customWidth="1"/>
    <col min="2093" max="2093" width="10" style="5" customWidth="1"/>
    <col min="2094" max="2094" width="11" style="5" customWidth="1"/>
    <col min="2095" max="2324" width="9" style="5" customWidth="0"/>
    <col min="2325" max="2325" width="4.5546875" style="5" customWidth="1"/>
    <col min="2326" max="2326" width="29.44140625" style="5" customWidth="1"/>
    <col min="2327" max="2332" width="9" style="5" hidden="1" customWidth="1"/>
    <col min="2333" max="2333" width="11.5546875" style="5" customWidth="1"/>
    <col min="2334" max="2334" width="11.33203125" style="5" customWidth="1"/>
    <col min="2335" max="2339" width="9" style="5" hidden="1" customWidth="1"/>
    <col min="2340" max="2340" width="9.88671875" style="5" customWidth="1"/>
    <col min="2341" max="2341" width="11.44140625" style="5" customWidth="1"/>
    <col min="2342" max="2345" width="9" style="5" hidden="1" customWidth="1"/>
    <col min="2346" max="2346" width="10.109375" style="5" customWidth="1"/>
    <col min="2347" max="2347" width="11.5546875" style="5" customWidth="1"/>
    <col min="2348" max="2348" width="12.44140625" style="5" customWidth="1"/>
    <col min="2349" max="2349" width="10" style="5" customWidth="1"/>
    <col min="2350" max="2350" width="11" style="5" customWidth="1"/>
    <col min="2351" max="2580" width="9" style="5" customWidth="0"/>
    <col min="2581" max="2581" width="4.5546875" style="5" customWidth="1"/>
    <col min="2582" max="2582" width="29.44140625" style="5" customWidth="1"/>
    <col min="2583" max="2588" width="9" style="5" hidden="1" customWidth="1"/>
    <col min="2589" max="2589" width="11.5546875" style="5" customWidth="1"/>
    <col min="2590" max="2590" width="11.33203125" style="5" customWidth="1"/>
    <col min="2591" max="2595" width="9" style="5" hidden="1" customWidth="1"/>
    <col min="2596" max="2596" width="9.88671875" style="5" customWidth="1"/>
    <col min="2597" max="2597" width="11.44140625" style="5" customWidth="1"/>
    <col min="2598" max="2601" width="9" style="5" hidden="1" customWidth="1"/>
    <col min="2602" max="2602" width="10.109375" style="5" customWidth="1"/>
    <col min="2603" max="2603" width="11.5546875" style="5" customWidth="1"/>
    <col min="2604" max="2604" width="12.44140625" style="5" customWidth="1"/>
    <col min="2605" max="2605" width="10" style="5" customWidth="1"/>
    <col min="2606" max="2606" width="11" style="5" customWidth="1"/>
    <col min="2607" max="2836" width="9" style="5" customWidth="0"/>
    <col min="2837" max="2837" width="4.5546875" style="5" customWidth="1"/>
    <col min="2838" max="2838" width="29.44140625" style="5" customWidth="1"/>
    <col min="2839" max="2844" width="9" style="5" hidden="1" customWidth="1"/>
    <col min="2845" max="2845" width="11.5546875" style="5" customWidth="1"/>
    <col min="2846" max="2846" width="11.33203125" style="5" customWidth="1"/>
    <col min="2847" max="2851" width="9" style="5" hidden="1" customWidth="1"/>
    <col min="2852" max="2852" width="9.88671875" style="5" customWidth="1"/>
    <col min="2853" max="2853" width="11.44140625" style="5" customWidth="1"/>
    <col min="2854" max="2857" width="9" style="5" hidden="1" customWidth="1"/>
    <col min="2858" max="2858" width="10.109375" style="5" customWidth="1"/>
    <col min="2859" max="2859" width="11.5546875" style="5" customWidth="1"/>
    <col min="2860" max="2860" width="12.44140625" style="5" customWidth="1"/>
    <col min="2861" max="2861" width="10" style="5" customWidth="1"/>
    <col min="2862" max="2862" width="11" style="5" customWidth="1"/>
    <col min="2863" max="3092" width="9" style="5" customWidth="0"/>
    <col min="3093" max="3093" width="4.5546875" style="5" customWidth="1"/>
    <col min="3094" max="3094" width="29.44140625" style="5" customWidth="1"/>
    <col min="3095" max="3100" width="9" style="5" hidden="1" customWidth="1"/>
    <col min="3101" max="3101" width="11.5546875" style="5" customWidth="1"/>
    <col min="3102" max="3102" width="11.33203125" style="5" customWidth="1"/>
    <col min="3103" max="3107" width="9" style="5" hidden="1" customWidth="1"/>
    <col min="3108" max="3108" width="9.88671875" style="5" customWidth="1"/>
    <col min="3109" max="3109" width="11.44140625" style="5" customWidth="1"/>
    <col min="3110" max="3113" width="9" style="5" hidden="1" customWidth="1"/>
    <col min="3114" max="3114" width="10.109375" style="5" customWidth="1"/>
    <col min="3115" max="3115" width="11.5546875" style="5" customWidth="1"/>
    <col min="3116" max="3116" width="12.44140625" style="5" customWidth="1"/>
    <col min="3117" max="3117" width="10" style="5" customWidth="1"/>
    <col min="3118" max="3118" width="11" style="5" customWidth="1"/>
    <col min="3119" max="3348" width="9" style="5" customWidth="0"/>
    <col min="3349" max="3349" width="4.5546875" style="5" customWidth="1"/>
    <col min="3350" max="3350" width="29.44140625" style="5" customWidth="1"/>
    <col min="3351" max="3356" width="9" style="5" hidden="1" customWidth="1"/>
    <col min="3357" max="3357" width="11.5546875" style="5" customWidth="1"/>
    <col min="3358" max="3358" width="11.33203125" style="5" customWidth="1"/>
    <col min="3359" max="3363" width="9" style="5" hidden="1" customWidth="1"/>
    <col min="3364" max="3364" width="9.88671875" style="5" customWidth="1"/>
    <col min="3365" max="3365" width="11.44140625" style="5" customWidth="1"/>
    <col min="3366" max="3369" width="9" style="5" hidden="1" customWidth="1"/>
    <col min="3370" max="3370" width="10.109375" style="5" customWidth="1"/>
    <col min="3371" max="3371" width="11.5546875" style="5" customWidth="1"/>
    <col min="3372" max="3372" width="12.44140625" style="5" customWidth="1"/>
    <col min="3373" max="3373" width="10" style="5" customWidth="1"/>
    <col min="3374" max="3374" width="11" style="5" customWidth="1"/>
    <col min="3375" max="3604" width="9" style="5" customWidth="0"/>
    <col min="3605" max="3605" width="4.5546875" style="5" customWidth="1"/>
    <col min="3606" max="3606" width="29.44140625" style="5" customWidth="1"/>
    <col min="3607" max="3612" width="9" style="5" hidden="1" customWidth="1"/>
    <col min="3613" max="3613" width="11.5546875" style="5" customWidth="1"/>
    <col min="3614" max="3614" width="11.33203125" style="5" customWidth="1"/>
    <col min="3615" max="3619" width="9" style="5" hidden="1" customWidth="1"/>
    <col min="3620" max="3620" width="9.88671875" style="5" customWidth="1"/>
    <col min="3621" max="3621" width="11.44140625" style="5" customWidth="1"/>
    <col min="3622" max="3625" width="9" style="5" hidden="1" customWidth="1"/>
    <col min="3626" max="3626" width="10.109375" style="5" customWidth="1"/>
    <col min="3627" max="3627" width="11.5546875" style="5" customWidth="1"/>
    <col min="3628" max="3628" width="12.44140625" style="5" customWidth="1"/>
    <col min="3629" max="3629" width="10" style="5" customWidth="1"/>
    <col min="3630" max="3630" width="11" style="5" customWidth="1"/>
    <col min="3631" max="3860" width="9" style="5" customWidth="0"/>
    <col min="3861" max="3861" width="4.5546875" style="5" customWidth="1"/>
    <col min="3862" max="3862" width="29.44140625" style="5" customWidth="1"/>
    <col min="3863" max="3868" width="9" style="5" hidden="1" customWidth="1"/>
    <col min="3869" max="3869" width="11.5546875" style="5" customWidth="1"/>
    <col min="3870" max="3870" width="11.33203125" style="5" customWidth="1"/>
    <col min="3871" max="3875" width="9" style="5" hidden="1" customWidth="1"/>
    <col min="3876" max="3876" width="9.88671875" style="5" customWidth="1"/>
    <col min="3877" max="3877" width="11.44140625" style="5" customWidth="1"/>
    <col min="3878" max="3881" width="9" style="5" hidden="1" customWidth="1"/>
    <col min="3882" max="3882" width="10.109375" style="5" customWidth="1"/>
    <col min="3883" max="3883" width="11.5546875" style="5" customWidth="1"/>
    <col min="3884" max="3884" width="12.44140625" style="5" customWidth="1"/>
    <col min="3885" max="3885" width="10" style="5" customWidth="1"/>
    <col min="3886" max="3886" width="11" style="5" customWidth="1"/>
    <col min="3887" max="4116" width="9" style="5" customWidth="0"/>
    <col min="4117" max="4117" width="4.5546875" style="5" customWidth="1"/>
    <col min="4118" max="4118" width="29.44140625" style="5" customWidth="1"/>
    <col min="4119" max="4124" width="9" style="5" hidden="1" customWidth="1"/>
    <col min="4125" max="4125" width="11.5546875" style="5" customWidth="1"/>
    <col min="4126" max="4126" width="11.33203125" style="5" customWidth="1"/>
    <col min="4127" max="4131" width="9" style="5" hidden="1" customWidth="1"/>
    <col min="4132" max="4132" width="9.88671875" style="5" customWidth="1"/>
    <col min="4133" max="4133" width="11.44140625" style="5" customWidth="1"/>
    <col min="4134" max="4137" width="9" style="5" hidden="1" customWidth="1"/>
    <col min="4138" max="4138" width="10.109375" style="5" customWidth="1"/>
    <col min="4139" max="4139" width="11.5546875" style="5" customWidth="1"/>
    <col min="4140" max="4140" width="12.44140625" style="5" customWidth="1"/>
    <col min="4141" max="4141" width="10" style="5" customWidth="1"/>
    <col min="4142" max="4142" width="11" style="5" customWidth="1"/>
    <col min="4143" max="4372" width="9" style="5" customWidth="0"/>
    <col min="4373" max="4373" width="4.5546875" style="5" customWidth="1"/>
    <col min="4374" max="4374" width="29.44140625" style="5" customWidth="1"/>
    <col min="4375" max="4380" width="9" style="5" hidden="1" customWidth="1"/>
    <col min="4381" max="4381" width="11.5546875" style="5" customWidth="1"/>
    <col min="4382" max="4382" width="11.33203125" style="5" customWidth="1"/>
    <col min="4383" max="4387" width="9" style="5" hidden="1" customWidth="1"/>
    <col min="4388" max="4388" width="9.88671875" style="5" customWidth="1"/>
    <col min="4389" max="4389" width="11.44140625" style="5" customWidth="1"/>
    <col min="4390" max="4393" width="9" style="5" hidden="1" customWidth="1"/>
    <col min="4394" max="4394" width="10.109375" style="5" customWidth="1"/>
    <col min="4395" max="4395" width="11.5546875" style="5" customWidth="1"/>
    <col min="4396" max="4396" width="12.44140625" style="5" customWidth="1"/>
    <col min="4397" max="4397" width="10" style="5" customWidth="1"/>
    <col min="4398" max="4398" width="11" style="5" customWidth="1"/>
    <col min="4399" max="4628" width="9" style="5" customWidth="0"/>
    <col min="4629" max="4629" width="4.5546875" style="5" customWidth="1"/>
    <col min="4630" max="4630" width="29.44140625" style="5" customWidth="1"/>
    <col min="4631" max="4636" width="9" style="5" hidden="1" customWidth="1"/>
    <col min="4637" max="4637" width="11.5546875" style="5" customWidth="1"/>
    <col min="4638" max="4638" width="11.33203125" style="5" customWidth="1"/>
    <col min="4639" max="4643" width="9" style="5" hidden="1" customWidth="1"/>
    <col min="4644" max="4644" width="9.88671875" style="5" customWidth="1"/>
    <col min="4645" max="4645" width="11.44140625" style="5" customWidth="1"/>
    <col min="4646" max="4649" width="9" style="5" hidden="1" customWidth="1"/>
    <col min="4650" max="4650" width="10.109375" style="5" customWidth="1"/>
    <col min="4651" max="4651" width="11.5546875" style="5" customWidth="1"/>
    <col min="4652" max="4652" width="12.44140625" style="5" customWidth="1"/>
    <col min="4653" max="4653" width="10" style="5" customWidth="1"/>
    <col min="4654" max="4654" width="11" style="5" customWidth="1"/>
    <col min="4655" max="4884" width="9" style="5" customWidth="0"/>
    <col min="4885" max="4885" width="4.5546875" style="5" customWidth="1"/>
    <col min="4886" max="4886" width="29.44140625" style="5" customWidth="1"/>
    <col min="4887" max="4892" width="9" style="5" hidden="1" customWidth="1"/>
    <col min="4893" max="4893" width="11.5546875" style="5" customWidth="1"/>
    <col min="4894" max="4894" width="11.33203125" style="5" customWidth="1"/>
    <col min="4895" max="4899" width="9" style="5" hidden="1" customWidth="1"/>
    <col min="4900" max="4900" width="9.88671875" style="5" customWidth="1"/>
    <col min="4901" max="4901" width="11.44140625" style="5" customWidth="1"/>
    <col min="4902" max="4905" width="9" style="5" hidden="1" customWidth="1"/>
    <col min="4906" max="4906" width="10.109375" style="5" customWidth="1"/>
    <col min="4907" max="4907" width="11.5546875" style="5" customWidth="1"/>
    <col min="4908" max="4908" width="12.44140625" style="5" customWidth="1"/>
    <col min="4909" max="4909" width="10" style="5" customWidth="1"/>
    <col min="4910" max="4910" width="11" style="5" customWidth="1"/>
    <col min="4911" max="5140" width="9" style="5" customWidth="0"/>
    <col min="5141" max="5141" width="4.5546875" style="5" customWidth="1"/>
    <col min="5142" max="5142" width="29.44140625" style="5" customWidth="1"/>
    <col min="5143" max="5148" width="9" style="5" hidden="1" customWidth="1"/>
    <col min="5149" max="5149" width="11.5546875" style="5" customWidth="1"/>
    <col min="5150" max="5150" width="11.33203125" style="5" customWidth="1"/>
    <col min="5151" max="5155" width="9" style="5" hidden="1" customWidth="1"/>
    <col min="5156" max="5156" width="9.88671875" style="5" customWidth="1"/>
    <col min="5157" max="5157" width="11.44140625" style="5" customWidth="1"/>
    <col min="5158" max="5161" width="9" style="5" hidden="1" customWidth="1"/>
    <col min="5162" max="5162" width="10.109375" style="5" customWidth="1"/>
    <col min="5163" max="5163" width="11.5546875" style="5" customWidth="1"/>
    <col min="5164" max="5164" width="12.44140625" style="5" customWidth="1"/>
    <col min="5165" max="5165" width="10" style="5" customWidth="1"/>
    <col min="5166" max="5166" width="11" style="5" customWidth="1"/>
    <col min="5167" max="5396" width="9" style="5" customWidth="0"/>
    <col min="5397" max="5397" width="4.5546875" style="5" customWidth="1"/>
    <col min="5398" max="5398" width="29.44140625" style="5" customWidth="1"/>
    <col min="5399" max="5404" width="9" style="5" hidden="1" customWidth="1"/>
    <col min="5405" max="5405" width="11.5546875" style="5" customWidth="1"/>
    <col min="5406" max="5406" width="11.33203125" style="5" customWidth="1"/>
    <col min="5407" max="5411" width="9" style="5" hidden="1" customWidth="1"/>
    <col min="5412" max="5412" width="9.88671875" style="5" customWidth="1"/>
    <col min="5413" max="5413" width="11.44140625" style="5" customWidth="1"/>
    <col min="5414" max="5417" width="9" style="5" hidden="1" customWidth="1"/>
    <col min="5418" max="5418" width="10.109375" style="5" customWidth="1"/>
    <col min="5419" max="5419" width="11.5546875" style="5" customWidth="1"/>
    <col min="5420" max="5420" width="12.44140625" style="5" customWidth="1"/>
    <col min="5421" max="5421" width="10" style="5" customWidth="1"/>
    <col min="5422" max="5422" width="11" style="5" customWidth="1"/>
    <col min="5423" max="5652" width="9" style="5" customWidth="0"/>
    <col min="5653" max="5653" width="4.5546875" style="5" customWidth="1"/>
    <col min="5654" max="5654" width="29.44140625" style="5" customWidth="1"/>
    <col min="5655" max="5660" width="9" style="5" hidden="1" customWidth="1"/>
    <col min="5661" max="5661" width="11.5546875" style="5" customWidth="1"/>
    <col min="5662" max="5662" width="11.33203125" style="5" customWidth="1"/>
    <col min="5663" max="5667" width="9" style="5" hidden="1" customWidth="1"/>
    <col min="5668" max="5668" width="9.88671875" style="5" customWidth="1"/>
    <col min="5669" max="5669" width="11.44140625" style="5" customWidth="1"/>
    <col min="5670" max="5673" width="9" style="5" hidden="1" customWidth="1"/>
    <col min="5674" max="5674" width="10.109375" style="5" customWidth="1"/>
    <col min="5675" max="5675" width="11.5546875" style="5" customWidth="1"/>
    <col min="5676" max="5676" width="12.44140625" style="5" customWidth="1"/>
    <col min="5677" max="5677" width="10" style="5" customWidth="1"/>
    <col min="5678" max="5678" width="11" style="5" customWidth="1"/>
    <col min="5679" max="5908" width="9" style="5" customWidth="0"/>
    <col min="5909" max="5909" width="4.5546875" style="5" customWidth="1"/>
    <col min="5910" max="5910" width="29.44140625" style="5" customWidth="1"/>
    <col min="5911" max="5916" width="9" style="5" hidden="1" customWidth="1"/>
    <col min="5917" max="5917" width="11.5546875" style="5" customWidth="1"/>
    <col min="5918" max="5918" width="11.33203125" style="5" customWidth="1"/>
    <col min="5919" max="5923" width="9" style="5" hidden="1" customWidth="1"/>
    <col min="5924" max="5924" width="9.88671875" style="5" customWidth="1"/>
    <col min="5925" max="5925" width="11.44140625" style="5" customWidth="1"/>
    <col min="5926" max="5929" width="9" style="5" hidden="1" customWidth="1"/>
    <col min="5930" max="5930" width="10.109375" style="5" customWidth="1"/>
    <col min="5931" max="5931" width="11.5546875" style="5" customWidth="1"/>
    <col min="5932" max="5932" width="12.44140625" style="5" customWidth="1"/>
    <col min="5933" max="5933" width="10" style="5" customWidth="1"/>
    <col min="5934" max="5934" width="11" style="5" customWidth="1"/>
    <col min="5935" max="6164" width="9" style="5" customWidth="0"/>
    <col min="6165" max="6165" width="4.5546875" style="5" customWidth="1"/>
    <col min="6166" max="6166" width="29.44140625" style="5" customWidth="1"/>
    <col min="6167" max="6172" width="9" style="5" hidden="1" customWidth="1"/>
    <col min="6173" max="6173" width="11.5546875" style="5" customWidth="1"/>
    <col min="6174" max="6174" width="11.33203125" style="5" customWidth="1"/>
    <col min="6175" max="6179" width="9" style="5" hidden="1" customWidth="1"/>
    <col min="6180" max="6180" width="9.88671875" style="5" customWidth="1"/>
    <col min="6181" max="6181" width="11.44140625" style="5" customWidth="1"/>
    <col min="6182" max="6185" width="9" style="5" hidden="1" customWidth="1"/>
    <col min="6186" max="6186" width="10.109375" style="5" customWidth="1"/>
    <col min="6187" max="6187" width="11.5546875" style="5" customWidth="1"/>
    <col min="6188" max="6188" width="12.44140625" style="5" customWidth="1"/>
    <col min="6189" max="6189" width="10" style="5" customWidth="1"/>
    <col min="6190" max="6190" width="11" style="5" customWidth="1"/>
    <col min="6191" max="6420" width="9" style="5" customWidth="0"/>
    <col min="6421" max="6421" width="4.5546875" style="5" customWidth="1"/>
    <col min="6422" max="6422" width="29.44140625" style="5" customWidth="1"/>
    <col min="6423" max="6428" width="9" style="5" hidden="1" customWidth="1"/>
    <col min="6429" max="6429" width="11.5546875" style="5" customWidth="1"/>
    <col min="6430" max="6430" width="11.33203125" style="5" customWidth="1"/>
    <col min="6431" max="6435" width="9" style="5" hidden="1" customWidth="1"/>
    <col min="6436" max="6436" width="9.88671875" style="5" customWidth="1"/>
    <col min="6437" max="6437" width="11.44140625" style="5" customWidth="1"/>
    <col min="6438" max="6441" width="9" style="5" hidden="1" customWidth="1"/>
    <col min="6442" max="6442" width="10.109375" style="5" customWidth="1"/>
    <col min="6443" max="6443" width="11.5546875" style="5" customWidth="1"/>
    <col min="6444" max="6444" width="12.44140625" style="5" customWidth="1"/>
    <col min="6445" max="6445" width="10" style="5" customWidth="1"/>
    <col min="6446" max="6446" width="11" style="5" customWidth="1"/>
    <col min="6447" max="6676" width="9" style="5" customWidth="0"/>
    <col min="6677" max="6677" width="4.5546875" style="5" customWidth="1"/>
    <col min="6678" max="6678" width="29.44140625" style="5" customWidth="1"/>
    <col min="6679" max="6684" width="9" style="5" hidden="1" customWidth="1"/>
    <col min="6685" max="6685" width="11.5546875" style="5" customWidth="1"/>
    <col min="6686" max="6686" width="11.33203125" style="5" customWidth="1"/>
    <col min="6687" max="6691" width="9" style="5" hidden="1" customWidth="1"/>
    <col min="6692" max="6692" width="9.88671875" style="5" customWidth="1"/>
    <col min="6693" max="6693" width="11.44140625" style="5" customWidth="1"/>
    <col min="6694" max="6697" width="9" style="5" hidden="1" customWidth="1"/>
    <col min="6698" max="6698" width="10.109375" style="5" customWidth="1"/>
    <col min="6699" max="6699" width="11.5546875" style="5" customWidth="1"/>
    <col min="6700" max="6700" width="12.44140625" style="5" customWidth="1"/>
    <col min="6701" max="6701" width="10" style="5" customWidth="1"/>
    <col min="6702" max="6702" width="11" style="5" customWidth="1"/>
    <col min="6703" max="6932" width="9" style="5" customWidth="0"/>
    <col min="6933" max="6933" width="4.5546875" style="5" customWidth="1"/>
    <col min="6934" max="6934" width="29.44140625" style="5" customWidth="1"/>
    <col min="6935" max="6940" width="9" style="5" hidden="1" customWidth="1"/>
    <col min="6941" max="6941" width="11.5546875" style="5" customWidth="1"/>
    <col min="6942" max="6942" width="11.33203125" style="5" customWidth="1"/>
    <col min="6943" max="6947" width="9" style="5" hidden="1" customWidth="1"/>
    <col min="6948" max="6948" width="9.88671875" style="5" customWidth="1"/>
    <col min="6949" max="6949" width="11.44140625" style="5" customWidth="1"/>
    <col min="6950" max="6953" width="9" style="5" hidden="1" customWidth="1"/>
    <col min="6954" max="6954" width="10.109375" style="5" customWidth="1"/>
    <col min="6955" max="6955" width="11.5546875" style="5" customWidth="1"/>
    <col min="6956" max="6956" width="12.44140625" style="5" customWidth="1"/>
    <col min="6957" max="6957" width="10" style="5" customWidth="1"/>
    <col min="6958" max="6958" width="11" style="5" customWidth="1"/>
    <col min="6959" max="7188" width="9" style="5" customWidth="0"/>
    <col min="7189" max="7189" width="4.5546875" style="5" customWidth="1"/>
    <col min="7190" max="7190" width="29.44140625" style="5" customWidth="1"/>
    <col min="7191" max="7196" width="9" style="5" hidden="1" customWidth="1"/>
    <col min="7197" max="7197" width="11.5546875" style="5" customWidth="1"/>
    <col min="7198" max="7198" width="11.33203125" style="5" customWidth="1"/>
    <col min="7199" max="7203" width="9" style="5" hidden="1" customWidth="1"/>
    <col min="7204" max="7204" width="9.88671875" style="5" customWidth="1"/>
    <col min="7205" max="7205" width="11.44140625" style="5" customWidth="1"/>
    <col min="7206" max="7209" width="9" style="5" hidden="1" customWidth="1"/>
    <col min="7210" max="7210" width="10.109375" style="5" customWidth="1"/>
    <col min="7211" max="7211" width="11.5546875" style="5" customWidth="1"/>
    <col min="7212" max="7212" width="12.44140625" style="5" customWidth="1"/>
    <col min="7213" max="7213" width="10" style="5" customWidth="1"/>
    <col min="7214" max="7214" width="11" style="5" customWidth="1"/>
    <col min="7215" max="7444" width="9" style="5" customWidth="0"/>
    <col min="7445" max="7445" width="4.5546875" style="5" customWidth="1"/>
    <col min="7446" max="7446" width="29.44140625" style="5" customWidth="1"/>
    <col min="7447" max="7452" width="9" style="5" hidden="1" customWidth="1"/>
    <col min="7453" max="7453" width="11.5546875" style="5" customWidth="1"/>
    <col min="7454" max="7454" width="11.33203125" style="5" customWidth="1"/>
    <col min="7455" max="7459" width="9" style="5" hidden="1" customWidth="1"/>
    <col min="7460" max="7460" width="9.88671875" style="5" customWidth="1"/>
    <col min="7461" max="7461" width="11.44140625" style="5" customWidth="1"/>
    <col min="7462" max="7465" width="9" style="5" hidden="1" customWidth="1"/>
    <col min="7466" max="7466" width="10.109375" style="5" customWidth="1"/>
    <col min="7467" max="7467" width="11.5546875" style="5" customWidth="1"/>
    <col min="7468" max="7468" width="12.44140625" style="5" customWidth="1"/>
    <col min="7469" max="7469" width="10" style="5" customWidth="1"/>
    <col min="7470" max="7470" width="11" style="5" customWidth="1"/>
    <col min="7471" max="7700" width="9" style="5" customWidth="0"/>
    <col min="7701" max="7701" width="4.5546875" style="5" customWidth="1"/>
    <col min="7702" max="7702" width="29.44140625" style="5" customWidth="1"/>
    <col min="7703" max="7708" width="9" style="5" hidden="1" customWidth="1"/>
    <col min="7709" max="7709" width="11.5546875" style="5" customWidth="1"/>
    <col min="7710" max="7710" width="11.33203125" style="5" customWidth="1"/>
    <col min="7711" max="7715" width="9" style="5" hidden="1" customWidth="1"/>
    <col min="7716" max="7716" width="9.88671875" style="5" customWidth="1"/>
    <col min="7717" max="7717" width="11.44140625" style="5" customWidth="1"/>
    <col min="7718" max="7721" width="9" style="5" hidden="1" customWidth="1"/>
    <col min="7722" max="7722" width="10.109375" style="5" customWidth="1"/>
    <col min="7723" max="7723" width="11.5546875" style="5" customWidth="1"/>
    <col min="7724" max="7724" width="12.44140625" style="5" customWidth="1"/>
    <col min="7725" max="7725" width="10" style="5" customWidth="1"/>
    <col min="7726" max="7726" width="11" style="5" customWidth="1"/>
    <col min="7727" max="7956" width="9" style="5" customWidth="0"/>
    <col min="7957" max="7957" width="4.5546875" style="5" customWidth="1"/>
    <col min="7958" max="7958" width="29.44140625" style="5" customWidth="1"/>
    <col min="7959" max="7964" width="9" style="5" hidden="1" customWidth="1"/>
    <col min="7965" max="7965" width="11.5546875" style="5" customWidth="1"/>
    <col min="7966" max="7966" width="11.33203125" style="5" customWidth="1"/>
    <col min="7967" max="7971" width="9" style="5" hidden="1" customWidth="1"/>
    <col min="7972" max="7972" width="9.88671875" style="5" customWidth="1"/>
    <col min="7973" max="7973" width="11.44140625" style="5" customWidth="1"/>
    <col min="7974" max="7977" width="9" style="5" hidden="1" customWidth="1"/>
    <col min="7978" max="7978" width="10.109375" style="5" customWidth="1"/>
    <col min="7979" max="7979" width="11.5546875" style="5" customWidth="1"/>
    <col min="7980" max="7980" width="12.44140625" style="5" customWidth="1"/>
    <col min="7981" max="7981" width="10" style="5" customWidth="1"/>
    <col min="7982" max="7982" width="11" style="5" customWidth="1"/>
    <col min="7983" max="8212" width="9" style="5" customWidth="0"/>
    <col min="8213" max="8213" width="4.5546875" style="5" customWidth="1"/>
    <col min="8214" max="8214" width="29.44140625" style="5" customWidth="1"/>
    <col min="8215" max="8220" width="9" style="5" hidden="1" customWidth="1"/>
    <col min="8221" max="8221" width="11.5546875" style="5" customWidth="1"/>
    <col min="8222" max="8222" width="11.33203125" style="5" customWidth="1"/>
    <col min="8223" max="8227" width="9" style="5" hidden="1" customWidth="1"/>
    <col min="8228" max="8228" width="9.88671875" style="5" customWidth="1"/>
    <col min="8229" max="8229" width="11.44140625" style="5" customWidth="1"/>
    <col min="8230" max="8233" width="9" style="5" hidden="1" customWidth="1"/>
    <col min="8234" max="8234" width="10.109375" style="5" customWidth="1"/>
    <col min="8235" max="8235" width="11.5546875" style="5" customWidth="1"/>
    <col min="8236" max="8236" width="12.44140625" style="5" customWidth="1"/>
    <col min="8237" max="8237" width="10" style="5" customWidth="1"/>
    <col min="8238" max="8238" width="11" style="5" customWidth="1"/>
    <col min="8239" max="8468" width="9" style="5" customWidth="0"/>
    <col min="8469" max="8469" width="4.5546875" style="5" customWidth="1"/>
    <col min="8470" max="8470" width="29.44140625" style="5" customWidth="1"/>
    <col min="8471" max="8476" width="9" style="5" hidden="1" customWidth="1"/>
    <col min="8477" max="8477" width="11.5546875" style="5" customWidth="1"/>
    <col min="8478" max="8478" width="11.33203125" style="5" customWidth="1"/>
    <col min="8479" max="8483" width="9" style="5" hidden="1" customWidth="1"/>
    <col min="8484" max="8484" width="9.88671875" style="5" customWidth="1"/>
    <col min="8485" max="8485" width="11.44140625" style="5" customWidth="1"/>
    <col min="8486" max="8489" width="9" style="5" hidden="1" customWidth="1"/>
    <col min="8490" max="8490" width="10.109375" style="5" customWidth="1"/>
    <col min="8491" max="8491" width="11.5546875" style="5" customWidth="1"/>
    <col min="8492" max="8492" width="12.44140625" style="5" customWidth="1"/>
    <col min="8493" max="8493" width="10" style="5" customWidth="1"/>
    <col min="8494" max="8494" width="11" style="5" customWidth="1"/>
    <col min="8495" max="8724" width="9" style="5" customWidth="0"/>
    <col min="8725" max="8725" width="4.5546875" style="5" customWidth="1"/>
    <col min="8726" max="8726" width="29.44140625" style="5" customWidth="1"/>
    <col min="8727" max="8732" width="9" style="5" hidden="1" customWidth="1"/>
    <col min="8733" max="8733" width="11.5546875" style="5" customWidth="1"/>
    <col min="8734" max="8734" width="11.33203125" style="5" customWidth="1"/>
    <col min="8735" max="8739" width="9" style="5" hidden="1" customWidth="1"/>
    <col min="8740" max="8740" width="9.88671875" style="5" customWidth="1"/>
    <col min="8741" max="8741" width="11.44140625" style="5" customWidth="1"/>
    <col min="8742" max="8745" width="9" style="5" hidden="1" customWidth="1"/>
    <col min="8746" max="8746" width="10.109375" style="5" customWidth="1"/>
    <col min="8747" max="8747" width="11.5546875" style="5" customWidth="1"/>
    <col min="8748" max="8748" width="12.44140625" style="5" customWidth="1"/>
    <col min="8749" max="8749" width="10" style="5" customWidth="1"/>
    <col min="8750" max="8750" width="11" style="5" customWidth="1"/>
    <col min="8751" max="8980" width="9" style="5" customWidth="0"/>
    <col min="8981" max="8981" width="4.5546875" style="5" customWidth="1"/>
    <col min="8982" max="8982" width="29.44140625" style="5" customWidth="1"/>
    <col min="8983" max="8988" width="9" style="5" hidden="1" customWidth="1"/>
    <col min="8989" max="8989" width="11.5546875" style="5" customWidth="1"/>
    <col min="8990" max="8990" width="11.33203125" style="5" customWidth="1"/>
    <col min="8991" max="8995" width="9" style="5" hidden="1" customWidth="1"/>
    <col min="8996" max="8996" width="9.88671875" style="5" customWidth="1"/>
    <col min="8997" max="8997" width="11.44140625" style="5" customWidth="1"/>
    <col min="8998" max="9001" width="9" style="5" hidden="1" customWidth="1"/>
    <col min="9002" max="9002" width="10.109375" style="5" customWidth="1"/>
    <col min="9003" max="9003" width="11.5546875" style="5" customWidth="1"/>
    <col min="9004" max="9004" width="12.44140625" style="5" customWidth="1"/>
    <col min="9005" max="9005" width="10" style="5" customWidth="1"/>
    <col min="9006" max="9006" width="11" style="5" customWidth="1"/>
    <col min="9007" max="9236" width="9" style="5" customWidth="0"/>
    <col min="9237" max="9237" width="4.5546875" style="5" customWidth="1"/>
    <col min="9238" max="9238" width="29.44140625" style="5" customWidth="1"/>
    <col min="9239" max="9244" width="9" style="5" hidden="1" customWidth="1"/>
    <col min="9245" max="9245" width="11.5546875" style="5" customWidth="1"/>
    <col min="9246" max="9246" width="11.33203125" style="5" customWidth="1"/>
    <col min="9247" max="9251" width="9" style="5" hidden="1" customWidth="1"/>
    <col min="9252" max="9252" width="9.88671875" style="5" customWidth="1"/>
    <col min="9253" max="9253" width="11.44140625" style="5" customWidth="1"/>
    <col min="9254" max="9257" width="9" style="5" hidden="1" customWidth="1"/>
    <col min="9258" max="9258" width="10.109375" style="5" customWidth="1"/>
    <col min="9259" max="9259" width="11.5546875" style="5" customWidth="1"/>
    <col min="9260" max="9260" width="12.44140625" style="5" customWidth="1"/>
    <col min="9261" max="9261" width="10" style="5" customWidth="1"/>
    <col min="9262" max="9262" width="11" style="5" customWidth="1"/>
    <col min="9263" max="9492" width="9" style="5" customWidth="0"/>
    <col min="9493" max="9493" width="4.5546875" style="5" customWidth="1"/>
    <col min="9494" max="9494" width="29.44140625" style="5" customWidth="1"/>
    <col min="9495" max="9500" width="9" style="5" hidden="1" customWidth="1"/>
    <col min="9501" max="9501" width="11.5546875" style="5" customWidth="1"/>
    <col min="9502" max="9502" width="11.33203125" style="5" customWidth="1"/>
    <col min="9503" max="9507" width="9" style="5" hidden="1" customWidth="1"/>
    <col min="9508" max="9508" width="9.88671875" style="5" customWidth="1"/>
    <col min="9509" max="9509" width="11.44140625" style="5" customWidth="1"/>
    <col min="9510" max="9513" width="9" style="5" hidden="1" customWidth="1"/>
    <col min="9514" max="9514" width="10.109375" style="5" customWidth="1"/>
    <col min="9515" max="9515" width="11.5546875" style="5" customWidth="1"/>
    <col min="9516" max="9516" width="12.44140625" style="5" customWidth="1"/>
    <col min="9517" max="9517" width="10" style="5" customWidth="1"/>
    <col min="9518" max="9518" width="11" style="5" customWidth="1"/>
    <col min="9519" max="9748" width="9" style="5" customWidth="0"/>
    <col min="9749" max="9749" width="4.5546875" style="5" customWidth="1"/>
    <col min="9750" max="9750" width="29.44140625" style="5" customWidth="1"/>
    <col min="9751" max="9756" width="9" style="5" hidden="1" customWidth="1"/>
    <col min="9757" max="9757" width="11.5546875" style="5" customWidth="1"/>
    <col min="9758" max="9758" width="11.33203125" style="5" customWidth="1"/>
    <col min="9759" max="9763" width="9" style="5" hidden="1" customWidth="1"/>
    <col min="9764" max="9764" width="9.88671875" style="5" customWidth="1"/>
    <col min="9765" max="9765" width="11.44140625" style="5" customWidth="1"/>
    <col min="9766" max="9769" width="9" style="5" hidden="1" customWidth="1"/>
    <col min="9770" max="9770" width="10.109375" style="5" customWidth="1"/>
    <col min="9771" max="9771" width="11.5546875" style="5" customWidth="1"/>
    <col min="9772" max="9772" width="12.44140625" style="5" customWidth="1"/>
    <col min="9773" max="9773" width="10" style="5" customWidth="1"/>
    <col min="9774" max="9774" width="11" style="5" customWidth="1"/>
    <col min="9775" max="10004" width="9" style="5" customWidth="0"/>
    <col min="10005" max="10005" width="4.5546875" style="5" customWidth="1"/>
    <col min="10006" max="10006" width="29.44140625" style="5" customWidth="1"/>
    <col min="10007" max="10012" width="9" style="5" hidden="1" customWidth="1"/>
    <col min="10013" max="10013" width="11.5546875" style="5" customWidth="1"/>
    <col min="10014" max="10014" width="11.33203125" style="5" customWidth="1"/>
    <col min="10015" max="10019" width="9" style="5" hidden="1" customWidth="1"/>
    <col min="10020" max="10020" width="9.88671875" style="5" customWidth="1"/>
    <col min="10021" max="10021" width="11.44140625" style="5" customWidth="1"/>
    <col min="10022" max="10025" width="9" style="5" hidden="1" customWidth="1"/>
    <col min="10026" max="10026" width="10.109375" style="5" customWidth="1"/>
    <col min="10027" max="10027" width="11.5546875" style="5" customWidth="1"/>
    <col min="10028" max="10028" width="12.44140625" style="5" customWidth="1"/>
    <col min="10029" max="10029" width="10" style="5" customWidth="1"/>
    <col min="10030" max="10030" width="11" style="5" customWidth="1"/>
    <col min="10031" max="10260" width="9" style="5" customWidth="0"/>
    <col min="10261" max="10261" width="4.5546875" style="5" customWidth="1"/>
    <col min="10262" max="10262" width="29.44140625" style="5" customWidth="1"/>
    <col min="10263" max="10268" width="9" style="5" hidden="1" customWidth="1"/>
    <col min="10269" max="10269" width="11.5546875" style="5" customWidth="1"/>
    <col min="10270" max="10270" width="11.33203125" style="5" customWidth="1"/>
    <col min="10271" max="10275" width="9" style="5" hidden="1" customWidth="1"/>
    <col min="10276" max="10276" width="9.88671875" style="5" customWidth="1"/>
    <col min="10277" max="10277" width="11.44140625" style="5" customWidth="1"/>
    <col min="10278" max="10281" width="9" style="5" hidden="1" customWidth="1"/>
    <col min="10282" max="10282" width="10.109375" style="5" customWidth="1"/>
    <col min="10283" max="10283" width="11.5546875" style="5" customWidth="1"/>
    <col min="10284" max="10284" width="12.44140625" style="5" customWidth="1"/>
    <col min="10285" max="10285" width="10" style="5" customWidth="1"/>
    <col min="10286" max="10286" width="11" style="5" customWidth="1"/>
    <col min="10287" max="10516" width="9" style="5" customWidth="0"/>
    <col min="10517" max="10517" width="4.5546875" style="5" customWidth="1"/>
    <col min="10518" max="10518" width="29.44140625" style="5" customWidth="1"/>
    <col min="10519" max="10524" width="9" style="5" hidden="1" customWidth="1"/>
    <col min="10525" max="10525" width="11.5546875" style="5" customWidth="1"/>
    <col min="10526" max="10526" width="11.33203125" style="5" customWidth="1"/>
    <col min="10527" max="10531" width="9" style="5" hidden="1" customWidth="1"/>
    <col min="10532" max="10532" width="9.88671875" style="5" customWidth="1"/>
    <col min="10533" max="10533" width="11.44140625" style="5" customWidth="1"/>
    <col min="10534" max="10537" width="9" style="5" hidden="1" customWidth="1"/>
    <col min="10538" max="10538" width="10.109375" style="5" customWidth="1"/>
    <col min="10539" max="10539" width="11.5546875" style="5" customWidth="1"/>
    <col min="10540" max="10540" width="12.44140625" style="5" customWidth="1"/>
    <col min="10541" max="10541" width="10" style="5" customWidth="1"/>
    <col min="10542" max="10542" width="11" style="5" customWidth="1"/>
    <col min="10543" max="10772" width="9" style="5" customWidth="0"/>
    <col min="10773" max="10773" width="4.5546875" style="5" customWidth="1"/>
    <col min="10774" max="10774" width="29.44140625" style="5" customWidth="1"/>
    <col min="10775" max="10780" width="9" style="5" hidden="1" customWidth="1"/>
    <col min="10781" max="10781" width="11.5546875" style="5" customWidth="1"/>
    <col min="10782" max="10782" width="11.33203125" style="5" customWidth="1"/>
    <col min="10783" max="10787" width="9" style="5" hidden="1" customWidth="1"/>
    <col min="10788" max="10788" width="9.88671875" style="5" customWidth="1"/>
    <col min="10789" max="10789" width="11.44140625" style="5" customWidth="1"/>
    <col min="10790" max="10793" width="9" style="5" hidden="1" customWidth="1"/>
    <col min="10794" max="10794" width="10.109375" style="5" customWidth="1"/>
    <col min="10795" max="10795" width="11.5546875" style="5" customWidth="1"/>
    <col min="10796" max="10796" width="12.44140625" style="5" customWidth="1"/>
    <col min="10797" max="10797" width="10" style="5" customWidth="1"/>
    <col min="10798" max="10798" width="11" style="5" customWidth="1"/>
    <col min="10799" max="11028" width="9" style="5" customWidth="0"/>
    <col min="11029" max="11029" width="4.5546875" style="5" customWidth="1"/>
    <col min="11030" max="11030" width="29.44140625" style="5" customWidth="1"/>
    <col min="11031" max="11036" width="9" style="5" hidden="1" customWidth="1"/>
    <col min="11037" max="11037" width="11.5546875" style="5" customWidth="1"/>
    <col min="11038" max="11038" width="11.33203125" style="5" customWidth="1"/>
    <col min="11039" max="11043" width="9" style="5" hidden="1" customWidth="1"/>
    <col min="11044" max="11044" width="9.88671875" style="5" customWidth="1"/>
    <col min="11045" max="11045" width="11.44140625" style="5" customWidth="1"/>
    <col min="11046" max="11049" width="9" style="5" hidden="1" customWidth="1"/>
    <col min="11050" max="11050" width="10.109375" style="5" customWidth="1"/>
    <col min="11051" max="11051" width="11.5546875" style="5" customWidth="1"/>
    <col min="11052" max="11052" width="12.44140625" style="5" customWidth="1"/>
    <col min="11053" max="11053" width="10" style="5" customWidth="1"/>
    <col min="11054" max="11054" width="11" style="5" customWidth="1"/>
    <col min="11055" max="11284" width="9" style="5" customWidth="0"/>
    <col min="11285" max="11285" width="4.5546875" style="5" customWidth="1"/>
    <col min="11286" max="11286" width="29.44140625" style="5" customWidth="1"/>
    <col min="11287" max="11292" width="9" style="5" hidden="1" customWidth="1"/>
    <col min="11293" max="11293" width="11.5546875" style="5" customWidth="1"/>
    <col min="11294" max="11294" width="11.33203125" style="5" customWidth="1"/>
    <col min="11295" max="11299" width="9" style="5" hidden="1" customWidth="1"/>
    <col min="11300" max="11300" width="9.88671875" style="5" customWidth="1"/>
    <col min="11301" max="11301" width="11.44140625" style="5" customWidth="1"/>
    <col min="11302" max="11305" width="9" style="5" hidden="1" customWidth="1"/>
    <col min="11306" max="11306" width="10.109375" style="5" customWidth="1"/>
    <col min="11307" max="11307" width="11.5546875" style="5" customWidth="1"/>
    <col min="11308" max="11308" width="12.44140625" style="5" customWidth="1"/>
    <col min="11309" max="11309" width="10" style="5" customWidth="1"/>
    <col min="11310" max="11310" width="11" style="5" customWidth="1"/>
    <col min="11311" max="11540" width="9" style="5" customWidth="0"/>
    <col min="11541" max="11541" width="4.5546875" style="5" customWidth="1"/>
    <col min="11542" max="11542" width="29.44140625" style="5" customWidth="1"/>
    <col min="11543" max="11548" width="9" style="5" hidden="1" customWidth="1"/>
    <col min="11549" max="11549" width="11.5546875" style="5" customWidth="1"/>
    <col min="11550" max="11550" width="11.33203125" style="5" customWidth="1"/>
    <col min="11551" max="11555" width="9" style="5" hidden="1" customWidth="1"/>
    <col min="11556" max="11556" width="9.88671875" style="5" customWidth="1"/>
    <col min="11557" max="11557" width="11.44140625" style="5" customWidth="1"/>
    <col min="11558" max="11561" width="9" style="5" hidden="1" customWidth="1"/>
    <col min="11562" max="11562" width="10.109375" style="5" customWidth="1"/>
    <col min="11563" max="11563" width="11.5546875" style="5" customWidth="1"/>
    <col min="11564" max="11564" width="12.44140625" style="5" customWidth="1"/>
    <col min="11565" max="11565" width="10" style="5" customWidth="1"/>
    <col min="11566" max="11566" width="11" style="5" customWidth="1"/>
    <col min="11567" max="11796" width="9" style="5" customWidth="0"/>
    <col min="11797" max="11797" width="4.5546875" style="5" customWidth="1"/>
    <col min="11798" max="11798" width="29.44140625" style="5" customWidth="1"/>
    <col min="11799" max="11804" width="9" style="5" hidden="1" customWidth="1"/>
    <col min="11805" max="11805" width="11.5546875" style="5" customWidth="1"/>
    <col min="11806" max="11806" width="11.33203125" style="5" customWidth="1"/>
    <col min="11807" max="11811" width="9" style="5" hidden="1" customWidth="1"/>
    <col min="11812" max="11812" width="9.88671875" style="5" customWidth="1"/>
    <col min="11813" max="11813" width="11.44140625" style="5" customWidth="1"/>
    <col min="11814" max="11817" width="9" style="5" hidden="1" customWidth="1"/>
    <col min="11818" max="11818" width="10.109375" style="5" customWidth="1"/>
    <col min="11819" max="11819" width="11.5546875" style="5" customWidth="1"/>
    <col min="11820" max="11820" width="12.44140625" style="5" customWidth="1"/>
    <col min="11821" max="11821" width="10" style="5" customWidth="1"/>
    <col min="11822" max="11822" width="11" style="5" customWidth="1"/>
    <col min="11823" max="12052" width="9" style="5" customWidth="0"/>
    <col min="12053" max="12053" width="4.5546875" style="5" customWidth="1"/>
    <col min="12054" max="12054" width="29.44140625" style="5" customWidth="1"/>
    <col min="12055" max="12060" width="9" style="5" hidden="1" customWidth="1"/>
    <col min="12061" max="12061" width="11.5546875" style="5" customWidth="1"/>
    <col min="12062" max="12062" width="11.33203125" style="5" customWidth="1"/>
    <col min="12063" max="12067" width="9" style="5" hidden="1" customWidth="1"/>
    <col min="12068" max="12068" width="9.88671875" style="5" customWidth="1"/>
    <col min="12069" max="12069" width="11.44140625" style="5" customWidth="1"/>
    <col min="12070" max="12073" width="9" style="5" hidden="1" customWidth="1"/>
    <col min="12074" max="12074" width="10.109375" style="5" customWidth="1"/>
    <col min="12075" max="12075" width="11.5546875" style="5" customWidth="1"/>
    <col min="12076" max="12076" width="12.44140625" style="5" customWidth="1"/>
    <col min="12077" max="12077" width="10" style="5" customWidth="1"/>
    <col min="12078" max="12078" width="11" style="5" customWidth="1"/>
    <col min="12079" max="12308" width="9" style="5" customWidth="0"/>
    <col min="12309" max="12309" width="4.5546875" style="5" customWidth="1"/>
    <col min="12310" max="12310" width="29.44140625" style="5" customWidth="1"/>
    <col min="12311" max="12316" width="9" style="5" hidden="1" customWidth="1"/>
    <col min="12317" max="12317" width="11.5546875" style="5" customWidth="1"/>
    <col min="12318" max="12318" width="11.33203125" style="5" customWidth="1"/>
    <col min="12319" max="12323" width="9" style="5" hidden="1" customWidth="1"/>
    <col min="12324" max="12324" width="9.88671875" style="5" customWidth="1"/>
    <col min="12325" max="12325" width="11.44140625" style="5" customWidth="1"/>
    <col min="12326" max="12329" width="9" style="5" hidden="1" customWidth="1"/>
    <col min="12330" max="12330" width="10.109375" style="5" customWidth="1"/>
    <col min="12331" max="12331" width="11.5546875" style="5" customWidth="1"/>
    <col min="12332" max="12332" width="12.44140625" style="5" customWidth="1"/>
    <col min="12333" max="12333" width="10" style="5" customWidth="1"/>
    <col min="12334" max="12334" width="11" style="5" customWidth="1"/>
    <col min="12335" max="12564" width="9" style="5" customWidth="0"/>
    <col min="12565" max="12565" width="4.5546875" style="5" customWidth="1"/>
    <col min="12566" max="12566" width="29.44140625" style="5" customWidth="1"/>
    <col min="12567" max="12572" width="9" style="5" hidden="1" customWidth="1"/>
    <col min="12573" max="12573" width="11.5546875" style="5" customWidth="1"/>
    <col min="12574" max="12574" width="11.33203125" style="5" customWidth="1"/>
    <col min="12575" max="12579" width="9" style="5" hidden="1" customWidth="1"/>
    <col min="12580" max="12580" width="9.88671875" style="5" customWidth="1"/>
    <col min="12581" max="12581" width="11.44140625" style="5" customWidth="1"/>
    <col min="12582" max="12585" width="9" style="5" hidden="1" customWidth="1"/>
    <col min="12586" max="12586" width="10.109375" style="5" customWidth="1"/>
    <col min="12587" max="12587" width="11.5546875" style="5" customWidth="1"/>
    <col min="12588" max="12588" width="12.44140625" style="5" customWidth="1"/>
    <col min="12589" max="12589" width="10" style="5" customWidth="1"/>
    <col min="12590" max="12590" width="11" style="5" customWidth="1"/>
    <col min="12591" max="12820" width="9" style="5" customWidth="0"/>
    <col min="12821" max="12821" width="4.5546875" style="5" customWidth="1"/>
    <col min="12822" max="12822" width="29.44140625" style="5" customWidth="1"/>
    <col min="12823" max="12828" width="9" style="5" hidden="1" customWidth="1"/>
    <col min="12829" max="12829" width="11.5546875" style="5" customWidth="1"/>
    <col min="12830" max="12830" width="11.33203125" style="5" customWidth="1"/>
    <col min="12831" max="12835" width="9" style="5" hidden="1" customWidth="1"/>
    <col min="12836" max="12836" width="9.88671875" style="5" customWidth="1"/>
    <col min="12837" max="12837" width="11.44140625" style="5" customWidth="1"/>
    <col min="12838" max="12841" width="9" style="5" hidden="1" customWidth="1"/>
    <col min="12842" max="12842" width="10.109375" style="5" customWidth="1"/>
    <col min="12843" max="12843" width="11.5546875" style="5" customWidth="1"/>
    <col min="12844" max="12844" width="12.44140625" style="5" customWidth="1"/>
    <col min="12845" max="12845" width="10" style="5" customWidth="1"/>
    <col min="12846" max="12846" width="11" style="5" customWidth="1"/>
    <col min="12847" max="13076" width="9" style="5" customWidth="0"/>
    <col min="13077" max="13077" width="4.5546875" style="5" customWidth="1"/>
    <col min="13078" max="13078" width="29.44140625" style="5" customWidth="1"/>
    <col min="13079" max="13084" width="9" style="5" hidden="1" customWidth="1"/>
    <col min="13085" max="13085" width="11.5546875" style="5" customWidth="1"/>
    <col min="13086" max="13086" width="11.33203125" style="5" customWidth="1"/>
    <col min="13087" max="13091" width="9" style="5" hidden="1" customWidth="1"/>
    <col min="13092" max="13092" width="9.88671875" style="5" customWidth="1"/>
    <col min="13093" max="13093" width="11.44140625" style="5" customWidth="1"/>
    <col min="13094" max="13097" width="9" style="5" hidden="1" customWidth="1"/>
    <col min="13098" max="13098" width="10.109375" style="5" customWidth="1"/>
    <col min="13099" max="13099" width="11.5546875" style="5" customWidth="1"/>
    <col min="13100" max="13100" width="12.44140625" style="5" customWidth="1"/>
    <col min="13101" max="13101" width="10" style="5" customWidth="1"/>
    <col min="13102" max="13102" width="11" style="5" customWidth="1"/>
    <col min="13103" max="13332" width="9" style="5" customWidth="0"/>
    <col min="13333" max="13333" width="4.5546875" style="5" customWidth="1"/>
    <col min="13334" max="13334" width="29.44140625" style="5" customWidth="1"/>
    <col min="13335" max="13340" width="9" style="5" hidden="1" customWidth="1"/>
    <col min="13341" max="13341" width="11.5546875" style="5" customWidth="1"/>
    <col min="13342" max="13342" width="11.33203125" style="5" customWidth="1"/>
    <col min="13343" max="13347" width="9" style="5" hidden="1" customWidth="1"/>
    <col min="13348" max="13348" width="9.88671875" style="5" customWidth="1"/>
    <col min="13349" max="13349" width="11.44140625" style="5" customWidth="1"/>
    <col min="13350" max="13353" width="9" style="5" hidden="1" customWidth="1"/>
    <col min="13354" max="13354" width="10.109375" style="5" customWidth="1"/>
    <col min="13355" max="13355" width="11.5546875" style="5" customWidth="1"/>
    <col min="13356" max="13356" width="12.44140625" style="5" customWidth="1"/>
    <col min="13357" max="13357" width="10" style="5" customWidth="1"/>
    <col min="13358" max="13358" width="11" style="5" customWidth="1"/>
    <col min="13359" max="13588" width="9" style="5" customWidth="0"/>
    <col min="13589" max="13589" width="4.5546875" style="5" customWidth="1"/>
    <col min="13590" max="13590" width="29.44140625" style="5" customWidth="1"/>
    <col min="13591" max="13596" width="9" style="5" hidden="1" customWidth="1"/>
    <col min="13597" max="13597" width="11.5546875" style="5" customWidth="1"/>
    <col min="13598" max="13598" width="11.33203125" style="5" customWidth="1"/>
    <col min="13599" max="13603" width="9" style="5" hidden="1" customWidth="1"/>
    <col min="13604" max="13604" width="9.88671875" style="5" customWidth="1"/>
    <col min="13605" max="13605" width="11.44140625" style="5" customWidth="1"/>
    <col min="13606" max="13609" width="9" style="5" hidden="1" customWidth="1"/>
    <col min="13610" max="13610" width="10.109375" style="5" customWidth="1"/>
    <col min="13611" max="13611" width="11.5546875" style="5" customWidth="1"/>
    <col min="13612" max="13612" width="12.44140625" style="5" customWidth="1"/>
    <col min="13613" max="13613" width="10" style="5" customWidth="1"/>
    <col min="13614" max="13614" width="11" style="5" customWidth="1"/>
    <col min="13615" max="13844" width="9" style="5" customWidth="0"/>
    <col min="13845" max="13845" width="4.5546875" style="5" customWidth="1"/>
    <col min="13846" max="13846" width="29.44140625" style="5" customWidth="1"/>
    <col min="13847" max="13852" width="9" style="5" hidden="1" customWidth="1"/>
    <col min="13853" max="13853" width="11.5546875" style="5" customWidth="1"/>
    <col min="13854" max="13854" width="11.33203125" style="5" customWidth="1"/>
    <col min="13855" max="13859" width="9" style="5" hidden="1" customWidth="1"/>
    <col min="13860" max="13860" width="9.88671875" style="5" customWidth="1"/>
    <col min="13861" max="13861" width="11.44140625" style="5" customWidth="1"/>
    <col min="13862" max="13865" width="9" style="5" hidden="1" customWidth="1"/>
    <col min="13866" max="13866" width="10.109375" style="5" customWidth="1"/>
    <col min="13867" max="13867" width="11.5546875" style="5" customWidth="1"/>
    <col min="13868" max="13868" width="12.44140625" style="5" customWidth="1"/>
    <col min="13869" max="13869" width="10" style="5" customWidth="1"/>
    <col min="13870" max="13870" width="11" style="5" customWidth="1"/>
    <col min="13871" max="14100" width="9" style="5" customWidth="0"/>
    <col min="14101" max="14101" width="4.5546875" style="5" customWidth="1"/>
    <col min="14102" max="14102" width="29.44140625" style="5" customWidth="1"/>
    <col min="14103" max="14108" width="9" style="5" hidden="1" customWidth="1"/>
    <col min="14109" max="14109" width="11.5546875" style="5" customWidth="1"/>
    <col min="14110" max="14110" width="11.33203125" style="5" customWidth="1"/>
    <col min="14111" max="14115" width="9" style="5" hidden="1" customWidth="1"/>
    <col min="14116" max="14116" width="9.88671875" style="5" customWidth="1"/>
    <col min="14117" max="14117" width="11.44140625" style="5" customWidth="1"/>
    <col min="14118" max="14121" width="9" style="5" hidden="1" customWidth="1"/>
    <col min="14122" max="14122" width="10.109375" style="5" customWidth="1"/>
    <col min="14123" max="14123" width="11.5546875" style="5" customWidth="1"/>
    <col min="14124" max="14124" width="12.44140625" style="5" customWidth="1"/>
    <col min="14125" max="14125" width="10" style="5" customWidth="1"/>
    <col min="14126" max="14126" width="11" style="5" customWidth="1"/>
    <col min="14127" max="14356" width="9" style="5" customWidth="0"/>
    <col min="14357" max="14357" width="4.5546875" style="5" customWidth="1"/>
    <col min="14358" max="14358" width="29.44140625" style="5" customWidth="1"/>
    <col min="14359" max="14364" width="9" style="5" hidden="1" customWidth="1"/>
    <col min="14365" max="14365" width="11.5546875" style="5" customWidth="1"/>
    <col min="14366" max="14366" width="11.33203125" style="5" customWidth="1"/>
    <col min="14367" max="14371" width="9" style="5" hidden="1" customWidth="1"/>
    <col min="14372" max="14372" width="9.88671875" style="5" customWidth="1"/>
    <col min="14373" max="14373" width="11.44140625" style="5" customWidth="1"/>
    <col min="14374" max="14377" width="9" style="5" hidden="1" customWidth="1"/>
    <col min="14378" max="14378" width="10.109375" style="5" customWidth="1"/>
    <col min="14379" max="14379" width="11.5546875" style="5" customWidth="1"/>
    <col min="14380" max="14380" width="12.44140625" style="5" customWidth="1"/>
    <col min="14381" max="14381" width="10" style="5" customWidth="1"/>
    <col min="14382" max="14382" width="11" style="5" customWidth="1"/>
    <col min="14383" max="14612" width="9" style="5" customWidth="0"/>
    <col min="14613" max="14613" width="4.5546875" style="5" customWidth="1"/>
    <col min="14614" max="14614" width="29.44140625" style="5" customWidth="1"/>
    <col min="14615" max="14620" width="9" style="5" hidden="1" customWidth="1"/>
    <col min="14621" max="14621" width="11.5546875" style="5" customWidth="1"/>
    <col min="14622" max="14622" width="11.33203125" style="5" customWidth="1"/>
    <col min="14623" max="14627" width="9" style="5" hidden="1" customWidth="1"/>
    <col min="14628" max="14628" width="9.88671875" style="5" customWidth="1"/>
    <col min="14629" max="14629" width="11.44140625" style="5" customWidth="1"/>
    <col min="14630" max="14633" width="9" style="5" hidden="1" customWidth="1"/>
    <col min="14634" max="14634" width="10.109375" style="5" customWidth="1"/>
    <col min="14635" max="14635" width="11.5546875" style="5" customWidth="1"/>
    <col min="14636" max="14636" width="12.44140625" style="5" customWidth="1"/>
    <col min="14637" max="14637" width="10" style="5" customWidth="1"/>
    <col min="14638" max="14638" width="11" style="5" customWidth="1"/>
    <col min="14639" max="14868" width="9" style="5" customWidth="0"/>
    <col min="14869" max="14869" width="4.5546875" style="5" customWidth="1"/>
    <col min="14870" max="14870" width="29.44140625" style="5" customWidth="1"/>
    <col min="14871" max="14876" width="9" style="5" hidden="1" customWidth="1"/>
    <col min="14877" max="14877" width="11.5546875" style="5" customWidth="1"/>
    <col min="14878" max="14878" width="11.33203125" style="5" customWidth="1"/>
    <col min="14879" max="14883" width="9" style="5" hidden="1" customWidth="1"/>
    <col min="14884" max="14884" width="9.88671875" style="5" customWidth="1"/>
    <col min="14885" max="14885" width="11.44140625" style="5" customWidth="1"/>
    <col min="14886" max="14889" width="9" style="5" hidden="1" customWidth="1"/>
    <col min="14890" max="14890" width="10.109375" style="5" customWidth="1"/>
    <col min="14891" max="14891" width="11.5546875" style="5" customWidth="1"/>
    <col min="14892" max="14892" width="12.44140625" style="5" customWidth="1"/>
    <col min="14893" max="14893" width="10" style="5" customWidth="1"/>
    <col min="14894" max="14894" width="11" style="5" customWidth="1"/>
    <col min="14895" max="15124" width="9" style="5" customWidth="0"/>
    <col min="15125" max="15125" width="4.5546875" style="5" customWidth="1"/>
    <col min="15126" max="15126" width="29.44140625" style="5" customWidth="1"/>
    <col min="15127" max="15132" width="9" style="5" hidden="1" customWidth="1"/>
    <col min="15133" max="15133" width="11.5546875" style="5" customWidth="1"/>
    <col min="15134" max="15134" width="11.33203125" style="5" customWidth="1"/>
    <col min="15135" max="15139" width="9" style="5" hidden="1" customWidth="1"/>
    <col min="15140" max="15140" width="9.88671875" style="5" customWidth="1"/>
    <col min="15141" max="15141" width="11.44140625" style="5" customWidth="1"/>
    <col min="15142" max="15145" width="9" style="5" hidden="1" customWidth="1"/>
    <col min="15146" max="15146" width="10.109375" style="5" customWidth="1"/>
    <col min="15147" max="15147" width="11.5546875" style="5" customWidth="1"/>
    <col min="15148" max="15148" width="12.44140625" style="5" customWidth="1"/>
    <col min="15149" max="15149" width="10" style="5" customWidth="1"/>
    <col min="15150" max="15150" width="11" style="5" customWidth="1"/>
    <col min="15151" max="15380" width="9" style="5" customWidth="0"/>
    <col min="15381" max="15381" width="4.5546875" style="5" customWidth="1"/>
    <col min="15382" max="15382" width="29.44140625" style="5" customWidth="1"/>
    <col min="15383" max="15388" width="9" style="5" hidden="1" customWidth="1"/>
    <col min="15389" max="15389" width="11.5546875" style="5" customWidth="1"/>
    <col min="15390" max="15390" width="11.33203125" style="5" customWidth="1"/>
    <col min="15391" max="15395" width="9" style="5" hidden="1" customWidth="1"/>
    <col min="15396" max="15396" width="9.88671875" style="5" customWidth="1"/>
    <col min="15397" max="15397" width="11.44140625" style="5" customWidth="1"/>
    <col min="15398" max="15401" width="9" style="5" hidden="1" customWidth="1"/>
    <col min="15402" max="15402" width="10.109375" style="5" customWidth="1"/>
    <col min="15403" max="15403" width="11.5546875" style="5" customWidth="1"/>
    <col min="15404" max="15404" width="12.44140625" style="5" customWidth="1"/>
    <col min="15405" max="15405" width="10" style="5" customWidth="1"/>
    <col min="15406" max="15406" width="11" style="5" customWidth="1"/>
    <col min="15407" max="15636" width="9" style="5" customWidth="0"/>
    <col min="15637" max="15637" width="4.5546875" style="5" customWidth="1"/>
    <col min="15638" max="15638" width="29.44140625" style="5" customWidth="1"/>
    <col min="15639" max="15644" width="9" style="5" hidden="1" customWidth="1"/>
    <col min="15645" max="15645" width="11.5546875" style="5" customWidth="1"/>
    <col min="15646" max="15646" width="11.33203125" style="5" customWidth="1"/>
    <col min="15647" max="15651" width="9" style="5" hidden="1" customWidth="1"/>
    <col min="15652" max="15652" width="9.88671875" style="5" customWidth="1"/>
    <col min="15653" max="15653" width="11.44140625" style="5" customWidth="1"/>
    <col min="15654" max="15657" width="9" style="5" hidden="1" customWidth="1"/>
    <col min="15658" max="15658" width="10.109375" style="5" customWidth="1"/>
    <col min="15659" max="15659" width="11.5546875" style="5" customWidth="1"/>
    <col min="15660" max="15660" width="12.44140625" style="5" customWidth="1"/>
    <col min="15661" max="15661" width="10" style="5" customWidth="1"/>
    <col min="15662" max="15662" width="11" style="5" customWidth="1"/>
    <col min="15663" max="15892" width="9" style="5" customWidth="0"/>
    <col min="15893" max="15893" width="4.5546875" style="5" customWidth="1"/>
    <col min="15894" max="15894" width="29.44140625" style="5" customWidth="1"/>
    <col min="15895" max="15900" width="9" style="5" hidden="1" customWidth="1"/>
    <col min="15901" max="15901" width="11.5546875" style="5" customWidth="1"/>
    <col min="15902" max="15902" width="11.33203125" style="5" customWidth="1"/>
    <col min="15903" max="15907" width="9" style="5" hidden="1" customWidth="1"/>
    <col min="15908" max="15908" width="9.88671875" style="5" customWidth="1"/>
    <col min="15909" max="15909" width="11.44140625" style="5" customWidth="1"/>
    <col min="15910" max="15913" width="9" style="5" hidden="1" customWidth="1"/>
    <col min="15914" max="15914" width="10.109375" style="5" customWidth="1"/>
    <col min="15915" max="15915" width="11.5546875" style="5" customWidth="1"/>
    <col min="15916" max="15916" width="12.44140625" style="5" customWidth="1"/>
    <col min="15917" max="15917" width="10" style="5" customWidth="1"/>
    <col min="15918" max="15918" width="11" style="5" customWidth="1"/>
    <col min="15919" max="16148" width="9" style="5" customWidth="0"/>
    <col min="16149" max="16149" width="4.5546875" style="5" customWidth="1"/>
    <col min="16150" max="16150" width="29.44140625" style="5" customWidth="1"/>
    <col min="16151" max="16156" width="9" style="5" hidden="1" customWidth="1"/>
    <col min="16157" max="16157" width="11.5546875" style="5" customWidth="1"/>
    <col min="16158" max="16158" width="11.33203125" style="5" customWidth="1"/>
    <col min="16159" max="16163" width="9" style="5" hidden="1" customWidth="1"/>
    <col min="16164" max="16164" width="9.88671875" style="5" customWidth="1"/>
    <col min="16165" max="16165" width="11.44140625" style="5" customWidth="1"/>
    <col min="16166" max="16169" width="9" style="5" hidden="1" customWidth="1"/>
    <col min="16170" max="16170" width="10.109375" style="5" customWidth="1"/>
    <col min="16171" max="16171" width="11.5546875" style="5" customWidth="1"/>
    <col min="16172" max="16172" width="12.44140625" style="5" customWidth="1"/>
    <col min="16173" max="16173" width="10" style="5" customWidth="1"/>
    <col min="16174" max="16174" width="11" style="5" customWidth="1"/>
    <col min="16175" max="16384" width="9" style="5" customWidth="0"/>
  </cols>
  <sheetData>
    <row r="1" ht="72" customHeight="1">
      <c r="A1" s="6"/>
      <c r="B1" s="88" t="s">
        <v>0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90"/>
      <c r="AO1" s="91" t="str">
        <v>TERM GRADE SHEET
AY __________</v>
      </c>
      <c r="AP1" s="92"/>
      <c r="AQ1" s="92"/>
      <c r="AR1" s="93"/>
      <c r="AS1" s="93"/>
      <c r="AT1" s="93"/>
      <c r="AU1" s="94"/>
    </row>
    <row r="2">
      <c r="A2" s="3"/>
      <c r="B2" s="95" t="s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7"/>
      <c r="AC2" s="7"/>
      <c r="AD2" s="7"/>
      <c r="AE2" s="7"/>
      <c r="AF2" s="7"/>
      <c r="AG2" s="7"/>
      <c r="AH2" s="7"/>
      <c r="AI2" s="7"/>
      <c r="AJ2" s="7"/>
      <c r="AK2" s="7"/>
      <c r="AL2" s="1"/>
      <c r="AM2" s="1"/>
      <c r="AN2" s="1"/>
      <c r="AO2" s="1" t="s">
        <v>2</v>
      </c>
      <c r="AP2" s="96" t="s">
        <v>2</v>
      </c>
      <c r="AQ2" s="97"/>
      <c r="AR2" s="98" t="s">
        <v>3</v>
      </c>
      <c r="AS2" s="99"/>
      <c r="AT2" s="100"/>
      <c r="AU2" s="8"/>
    </row>
    <row r="3">
      <c r="A3" s="73"/>
      <c r="B3" s="73"/>
      <c r="C3" s="9"/>
      <c r="AO3" s="10" t="s">
        <v>4</v>
      </c>
      <c r="AP3" s="83" t="s">
        <v>4</v>
      </c>
      <c r="AQ3" s="84"/>
      <c r="AR3" s="84" t="s">
        <v>5</v>
      </c>
      <c r="AS3" s="85"/>
      <c r="AT3" s="86"/>
      <c r="AU3" s="10"/>
    </row>
    <row r="4">
      <c r="A4" s="73" t="str">
        <v>Subject :</v>
      </c>
      <c r="B4" s="73"/>
      <c r="C4" s="9"/>
      <c r="AA4" s="3" t="str">
        <v>AREA: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1"/>
      <c r="AM4" s="1"/>
      <c r="AN4" s="1"/>
      <c r="AO4" s="11"/>
      <c r="AP4" s="11"/>
      <c r="AQ4" s="11"/>
      <c r="AR4" s="11"/>
      <c r="AS4" s="11"/>
      <c r="AT4" s="12"/>
      <c r="AU4" s="12"/>
    </row>
    <row r="5" ht="21" customHeight="1">
      <c r="A5" s="9"/>
      <c r="B5" s="87" t="str">
        <v>DESCRIPTION: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12"/>
    </row>
    <row r="6">
      <c r="A6" s="73" t="str">
        <v>Semester :</v>
      </c>
      <c r="B6" s="73"/>
      <c r="C6" s="9"/>
      <c r="AA6" s="13" t="str">
        <v>DATE:</v>
      </c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>
      <c r="A7" s="68" t="str">
        <v>RLE FINAL RATINGS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</row>
    <row r="8" s="1" customFormat="1" ht="24.75" customHeight="1">
      <c r="A8" s="79" t="s">
        <v>6</v>
      </c>
      <c r="B8" s="80"/>
      <c r="C8" s="14"/>
      <c r="D8" s="74" t="s">
        <v>7</v>
      </c>
      <c r="E8" s="75"/>
      <c r="F8" s="75"/>
      <c r="G8" s="75"/>
      <c r="H8" s="75"/>
      <c r="I8" s="75"/>
      <c r="J8" s="75"/>
      <c r="K8" s="75"/>
      <c r="L8" s="76"/>
      <c r="M8" s="55" t="str">
        <v>TOTAL</v>
      </c>
      <c r="N8" s="57" t="str">
        <v>Knowledge 40%</v>
      </c>
      <c r="O8" s="77" t="s">
        <v>8</v>
      </c>
      <c r="P8" s="78"/>
      <c r="Q8" s="78"/>
      <c r="R8" s="78"/>
      <c r="S8" s="78"/>
      <c r="T8" s="78"/>
      <c r="U8" s="78"/>
      <c r="V8" s="78"/>
      <c r="W8" s="78"/>
      <c r="X8" s="78"/>
      <c r="Y8" s="78"/>
      <c r="Z8" s="59" t="str">
        <v>TOTAL</v>
      </c>
      <c r="AA8" s="61" t="str">
        <v>Skills 40%</v>
      </c>
      <c r="AB8" s="46"/>
      <c r="AC8" s="46"/>
      <c r="AD8" s="15"/>
      <c r="AE8" s="15"/>
      <c r="AF8" s="16"/>
      <c r="AG8" s="16"/>
      <c r="AH8" s="16"/>
      <c r="AI8" s="16"/>
      <c r="AJ8" s="16"/>
      <c r="AK8" s="16"/>
      <c r="AL8" s="77" t="s">
        <v>9</v>
      </c>
      <c r="AM8" s="78"/>
      <c r="AN8" s="78"/>
      <c r="AO8" s="78" t="str">
        <v>TOTAL</v>
      </c>
      <c r="AP8" s="63" t="str">
        <v>Attitude 20%</v>
      </c>
      <c r="AQ8" s="61" t="str">
        <v>Final Score</v>
      </c>
      <c r="AR8" s="65" t="str">
        <v>FINAL RATING</v>
      </c>
      <c r="AS8" s="61" t="str">
        <v>Remarks</v>
      </c>
      <c r="AT8" s="65" t="s">
        <v>10</v>
      </c>
    </row>
    <row r="9" s="1" customFormat="1" ht="24.75" customHeight="1">
      <c r="A9" s="81"/>
      <c r="B9" s="82"/>
      <c r="C9" s="17"/>
      <c r="D9" s="18"/>
      <c r="E9" s="19"/>
      <c r="F9" s="18"/>
      <c r="G9" s="18"/>
      <c r="H9" s="18"/>
      <c r="I9" s="18"/>
      <c r="J9" s="18"/>
      <c r="K9" s="18"/>
      <c r="L9" s="20"/>
      <c r="M9" s="56"/>
      <c r="N9" s="58"/>
      <c r="O9" s="21"/>
      <c r="P9" s="21"/>
      <c r="Q9" s="21"/>
      <c r="R9" s="21"/>
      <c r="S9" s="21"/>
      <c r="T9" s="21"/>
      <c r="U9" s="21"/>
      <c r="V9" s="21"/>
      <c r="W9" s="21"/>
      <c r="X9" s="21"/>
      <c r="Y9" s="20"/>
      <c r="Z9" s="60"/>
      <c r="AA9" s="62"/>
      <c r="AB9" s="47"/>
      <c r="AC9" s="47"/>
      <c r="AD9" s="22"/>
      <c r="AE9" s="22"/>
      <c r="AF9" s="23"/>
      <c r="AG9" s="23"/>
      <c r="AH9" s="23"/>
      <c r="AI9" s="23"/>
      <c r="AJ9" s="23"/>
      <c r="AK9" s="23"/>
      <c r="AL9" s="21"/>
      <c r="AM9" s="21"/>
      <c r="AN9" s="24"/>
      <c r="AO9" s="20" t="s">
        <v>11</v>
      </c>
      <c r="AP9" s="64"/>
      <c r="AQ9" s="62"/>
      <c r="AR9" s="66"/>
      <c r="AS9" s="62"/>
      <c r="AT9" s="66"/>
    </row>
    <row r="10" s="1" customFormat="1" ht="15" customHeight="1">
      <c r="A10" s="25"/>
      <c r="B10" s="26" t="str">
        <v>GROUP</v>
      </c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8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7"/>
      <c r="AM10" s="27"/>
      <c r="AN10" s="27"/>
      <c r="AO10" s="27"/>
      <c r="AP10" s="27"/>
      <c r="AQ10" s="28"/>
      <c r="AR10" s="29"/>
      <c r="AS10" s="29"/>
      <c r="AT10" s="30"/>
    </row>
    <row r="11" s="1" customFormat="1" ht="15" customHeight="1">
      <c r="A11" s="25"/>
      <c r="B11" s="48"/>
      <c r="C11" s="31"/>
      <c r="D11" s="27"/>
      <c r="E11" s="27"/>
      <c r="F11" s="27"/>
      <c r="G11" s="27"/>
      <c r="H11" s="49"/>
      <c r="I11" s="32"/>
      <c r="J11" s="27"/>
      <c r="K11" s="40">
        <f t="shared" ref="K11:K19" si="0">G11/100*50+50</f>
      </c>
      <c r="L11" s="27"/>
      <c r="M11" s="32"/>
      <c r="N11" s="33">
        <f t="shared" ref="N11:N19" si="1">SUM(M11)*40%</f>
      </c>
      <c r="O11" s="27"/>
      <c r="P11" s="27"/>
      <c r="Q11" s="27"/>
      <c r="R11" s="27"/>
      <c r="S11" s="27"/>
      <c r="T11" s="27"/>
      <c r="U11" s="53"/>
      <c r="V11" s="53"/>
      <c r="W11" s="53"/>
      <c r="X11" s="53"/>
      <c r="Y11" s="27"/>
      <c r="Z11" s="32"/>
      <c r="AA11" s="33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7"/>
      <c r="AM11" s="27"/>
      <c r="AN11" s="27"/>
      <c r="AO11" s="27">
        <f t="shared" ref="AO11:AO19" si="2">SUM(AL11:AN11)/3</f>
      </c>
      <c r="AP11" s="35"/>
      <c r="AQ11" s="36">
        <f t="shared" ref="AQ11:AQ19" si="3">SUM(AP11)*0.2</f>
      </c>
      <c r="AR11" s="37">
        <f t="shared" ref="AR11:AR19" si="4">SUM(N11,AA11,AQ11)</f>
      </c>
      <c r="AS11" s="38">
        <f t="shared" ref="AS11:AS19" si="5">IF(AR11&gt;=97.5,1,IF(AR11&gt;=94.5,1.25,IF(AR11&gt;=91.5,1.5,IF(AR11&gt;=88.5,1.75,IF(AR11&gt;=85.5,2,IF(AR11&gt;=82.5,2.25,IF(AR11&gt;=79.5,2.5,IF(AR11&gt;=77.5,2.75,IF(AR11&gt;=73.5,3,IF(AR11&gt;=71.5,4,5))))))))))</f>
      </c>
      <c r="AT11" s="39" t="str">
        <f t="shared" ref="AT11:AT19" si="6">IF(AS11&lt;5,"PASSED","FAILED")</f>
        <v>PASSED</v>
      </c>
    </row>
    <row r="12" s="1" customFormat="1" ht="15" customHeight="1">
      <c r="A12" s="25"/>
      <c r="B12" s="48"/>
      <c r="C12" s="31"/>
      <c r="D12" s="27"/>
      <c r="E12" s="27"/>
      <c r="F12" s="27"/>
      <c r="G12" s="27"/>
      <c r="H12" s="49">
        <f t="shared" ref="H12:H25" si="7">D12/30*50+50</f>
      </c>
      <c r="I12" s="32">
        <f t="shared" ref="I12:I25" si="8">E12/30*50+50</f>
      </c>
      <c r="J12" s="27">
        <f t="shared" ref="J12:J25" si="9">F12/50*50+50</f>
      </c>
      <c r="K12" s="40">
        <f t="shared" si="0"/>
      </c>
      <c r="L12" s="27">
        <f t="shared" ref="L12:L25" si="10">SUM(H12:J12)/3*15%+(K12*25%)</f>
      </c>
      <c r="M12" s="32">
        <f t="shared" ref="M12:M25" si="11">L12/40%</f>
      </c>
      <c r="N12" s="33">
        <f t="shared" si="1"/>
      </c>
      <c r="O12" s="27"/>
      <c r="P12" s="27"/>
      <c r="Q12" s="27"/>
      <c r="R12" s="27"/>
      <c r="S12" s="27"/>
      <c r="T12" s="27"/>
      <c r="U12" s="53"/>
      <c r="V12" s="53">
        <f t="shared" ref="V12:V25" si="12">SUM(O12:U12)/7</f>
      </c>
      <c r="W12" s="53"/>
      <c r="X12" s="53"/>
      <c r="Y12" s="27">
        <f t="shared" ref="Y12:Y25" si="13">SUM(W12*0.3)+(X12*0.7)</f>
      </c>
      <c r="Z12" s="32">
        <f t="shared" ref="Z12:Z25" si="14">SUM(V12,Y12)/2</f>
      </c>
      <c r="AA12" s="33">
        <f t="shared" ref="AA12:AA14" si="15">SUM(Z12)*40%</f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7"/>
      <c r="AM12" s="27"/>
      <c r="AN12" s="27"/>
      <c r="AO12" s="27">
        <f t="shared" si="2"/>
      </c>
      <c r="AP12" s="35">
        <f t="shared" ref="AP12:AP25" si="16">AO12</f>
      </c>
      <c r="AQ12" s="36">
        <f t="shared" si="3"/>
      </c>
      <c r="AR12" s="37">
        <f t="shared" si="4"/>
      </c>
      <c r="AS12" s="38">
        <f t="shared" si="5"/>
      </c>
      <c r="AT12" s="39" t="str">
        <f t="shared" si="6"/>
        <v>PASSED</v>
      </c>
    </row>
    <row r="13" s="1" customFormat="1" ht="15" customHeight="1">
      <c r="A13" s="25"/>
      <c r="B13" s="48"/>
      <c r="C13" s="31"/>
      <c r="D13" s="27"/>
      <c r="E13" s="27"/>
      <c r="F13" s="27"/>
      <c r="G13" s="27"/>
      <c r="H13" s="49">
        <f t="shared" si="7"/>
      </c>
      <c r="I13" s="32">
        <f t="shared" si="8"/>
      </c>
      <c r="J13" s="27">
        <f t="shared" si="9"/>
      </c>
      <c r="K13" s="40">
        <f t="shared" si="0"/>
      </c>
      <c r="L13" s="27">
        <f t="shared" si="10"/>
      </c>
      <c r="M13" s="32">
        <f t="shared" si="11"/>
      </c>
      <c r="N13" s="33">
        <f t="shared" si="1"/>
      </c>
      <c r="O13" s="27"/>
      <c r="P13" s="27"/>
      <c r="Q13" s="27"/>
      <c r="R13" s="27"/>
      <c r="S13" s="27"/>
      <c r="T13" s="27"/>
      <c r="U13" s="53"/>
      <c r="V13" s="53">
        <f t="shared" si="12"/>
      </c>
      <c r="W13" s="53"/>
      <c r="X13" s="53"/>
      <c r="Y13" s="27">
        <f t="shared" si="13"/>
      </c>
      <c r="Z13" s="32">
        <f t="shared" si="14"/>
      </c>
      <c r="AA13" s="33">
        <f t="shared" si="15"/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7"/>
      <c r="AM13" s="27"/>
      <c r="AN13" s="27"/>
      <c r="AO13" s="27">
        <f t="shared" si="2"/>
      </c>
      <c r="AP13" s="35">
        <f t="shared" si="16"/>
      </c>
      <c r="AQ13" s="36">
        <f t="shared" si="3"/>
      </c>
      <c r="AR13" s="37">
        <f t="shared" si="4"/>
      </c>
      <c r="AS13" s="38">
        <f t="shared" si="5"/>
      </c>
      <c r="AT13" s="39" t="str">
        <f t="shared" si="6"/>
        <v>PASSED</v>
      </c>
    </row>
    <row r="14" s="1" customFormat="1" ht="15" customHeight="1">
      <c r="A14" s="25"/>
      <c r="B14" s="48"/>
      <c r="C14" s="26"/>
      <c r="D14" s="27"/>
      <c r="E14" s="27"/>
      <c r="F14" s="27"/>
      <c r="G14" s="27"/>
      <c r="H14" s="49">
        <f t="shared" si="7"/>
      </c>
      <c r="I14" s="32">
        <f t="shared" si="8"/>
      </c>
      <c r="J14" s="27">
        <f t="shared" si="9"/>
      </c>
      <c r="K14" s="40">
        <f t="shared" si="0"/>
      </c>
      <c r="L14" s="27">
        <f t="shared" si="10"/>
      </c>
      <c r="M14" s="32">
        <f t="shared" si="11"/>
      </c>
      <c r="N14" s="33">
        <f t="shared" si="1"/>
      </c>
      <c r="O14" s="27"/>
      <c r="P14" s="27"/>
      <c r="Q14" s="27"/>
      <c r="R14" s="27"/>
      <c r="S14" s="27"/>
      <c r="T14" s="27"/>
      <c r="U14" s="53"/>
      <c r="V14" s="53">
        <f t="shared" si="12"/>
      </c>
      <c r="W14" s="53"/>
      <c r="X14" s="53"/>
      <c r="Y14" s="27">
        <f t="shared" si="13"/>
      </c>
      <c r="Z14" s="32">
        <f t="shared" si="14"/>
      </c>
      <c r="AA14" s="33">
        <f t="shared" si="15"/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7"/>
      <c r="AM14" s="27"/>
      <c r="AN14" s="27"/>
      <c r="AO14" s="27">
        <f t="shared" si="2"/>
      </c>
      <c r="AP14" s="35">
        <f t="shared" si="16"/>
      </c>
      <c r="AQ14" s="36">
        <f t="shared" si="3"/>
      </c>
      <c r="AR14" s="37">
        <f t="shared" si="4"/>
      </c>
      <c r="AS14" s="38">
        <f t="shared" si="5"/>
      </c>
      <c r="AT14" s="39" t="str">
        <f t="shared" si="6"/>
        <v>PASSED</v>
      </c>
    </row>
    <row r="15" s="1" customFormat="1" ht="15" customHeight="1">
      <c r="A15" s="25"/>
      <c r="B15" s="50"/>
      <c r="C15" s="26"/>
      <c r="D15" s="27"/>
      <c r="E15" s="27"/>
      <c r="F15" s="27"/>
      <c r="G15" s="27"/>
      <c r="H15" s="49">
        <f t="shared" si="7"/>
      </c>
      <c r="I15" s="32">
        <f t="shared" si="8"/>
      </c>
      <c r="J15" s="27">
        <f t="shared" si="9"/>
      </c>
      <c r="K15" s="40">
        <f t="shared" si="0"/>
      </c>
      <c r="L15" s="27">
        <f t="shared" si="10"/>
      </c>
      <c r="M15" s="32">
        <f t="shared" si="11"/>
      </c>
      <c r="N15" s="33">
        <f t="shared" si="1"/>
      </c>
      <c r="O15" s="27"/>
      <c r="P15" s="27"/>
      <c r="Q15" s="27"/>
      <c r="R15" s="27"/>
      <c r="S15" s="27"/>
      <c r="T15" s="27"/>
      <c r="U15" s="53"/>
      <c r="V15" s="53">
        <f t="shared" si="12"/>
      </c>
      <c r="W15" s="53"/>
      <c r="X15" s="53"/>
      <c r="Y15" s="27">
        <f t="shared" si="13"/>
      </c>
      <c r="Z15" s="32">
        <f t="shared" si="14"/>
      </c>
      <c r="AA15" s="33">
        <f t="shared" ref="AA15:AA19" si="17">SUM(Z15)*40%</f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7"/>
      <c r="AM15" s="27"/>
      <c r="AN15" s="27"/>
      <c r="AO15" s="27">
        <f t="shared" si="2"/>
      </c>
      <c r="AP15" s="35">
        <f t="shared" si="16"/>
      </c>
      <c r="AQ15" s="36">
        <f t="shared" si="3"/>
      </c>
      <c r="AR15" s="37">
        <f t="shared" si="4"/>
      </c>
      <c r="AS15" s="38">
        <f t="shared" si="5"/>
      </c>
      <c r="AT15" s="39" t="str">
        <f t="shared" si="6"/>
        <v>PASSED</v>
      </c>
    </row>
    <row r="16" s="1" customFormat="1" ht="15" customHeight="1">
      <c r="A16" s="25"/>
      <c r="B16" s="50"/>
      <c r="C16" s="26"/>
      <c r="D16" s="27"/>
      <c r="E16" s="27"/>
      <c r="F16" s="27"/>
      <c r="G16" s="27"/>
      <c r="H16" s="49">
        <f t="shared" si="7"/>
      </c>
      <c r="I16" s="32">
        <f t="shared" si="8"/>
      </c>
      <c r="J16" s="27">
        <f t="shared" si="9"/>
      </c>
      <c r="K16" s="40">
        <f t="shared" si="0"/>
      </c>
      <c r="L16" s="27">
        <f t="shared" si="10"/>
      </c>
      <c r="M16" s="32">
        <f t="shared" si="11"/>
      </c>
      <c r="N16" s="33">
        <f t="shared" si="1"/>
      </c>
      <c r="O16" s="27"/>
      <c r="P16" s="27"/>
      <c r="Q16" s="27"/>
      <c r="R16" s="27"/>
      <c r="S16" s="27"/>
      <c r="T16" s="27"/>
      <c r="U16" s="53"/>
      <c r="V16" s="53">
        <f t="shared" si="12"/>
      </c>
      <c r="W16" s="53"/>
      <c r="X16" s="53"/>
      <c r="Y16" s="27">
        <f t="shared" si="13"/>
      </c>
      <c r="Z16" s="32">
        <f t="shared" si="14"/>
      </c>
      <c r="AA16" s="33">
        <f t="shared" si="17"/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7"/>
      <c r="AM16" s="27"/>
      <c r="AN16" s="27"/>
      <c r="AO16" s="27">
        <f t="shared" si="2"/>
      </c>
      <c r="AP16" s="35">
        <f t="shared" si="16"/>
      </c>
      <c r="AQ16" s="36">
        <f t="shared" si="3"/>
      </c>
      <c r="AR16" s="37">
        <f t="shared" si="4"/>
      </c>
      <c r="AS16" s="38">
        <f t="shared" si="5"/>
      </c>
      <c r="AT16" s="39" t="str">
        <f t="shared" si="6"/>
        <v>PASSED</v>
      </c>
    </row>
    <row r="17" s="1" customFormat="1" ht="15" customHeight="1">
      <c r="A17" s="25"/>
      <c r="B17" s="50"/>
      <c r="C17" s="26"/>
      <c r="D17" s="27"/>
      <c r="E17" s="27"/>
      <c r="F17" s="27"/>
      <c r="G17" s="27"/>
      <c r="H17" s="49">
        <f t="shared" si="7"/>
      </c>
      <c r="I17" s="32">
        <f t="shared" si="8"/>
      </c>
      <c r="J17" s="27">
        <f t="shared" si="9"/>
      </c>
      <c r="K17" s="40">
        <f t="shared" si="0"/>
      </c>
      <c r="L17" s="27">
        <f t="shared" si="10"/>
      </c>
      <c r="M17" s="32">
        <f t="shared" si="11"/>
      </c>
      <c r="N17" s="33">
        <f t="shared" si="1"/>
      </c>
      <c r="O17" s="27"/>
      <c r="P17" s="27"/>
      <c r="Q17" s="27"/>
      <c r="R17" s="27"/>
      <c r="S17" s="27"/>
      <c r="T17" s="27"/>
      <c r="U17" s="53"/>
      <c r="V17" s="53">
        <f t="shared" si="12"/>
      </c>
      <c r="W17" s="53"/>
      <c r="X17" s="53"/>
      <c r="Y17" s="27">
        <f t="shared" si="13"/>
      </c>
      <c r="Z17" s="32">
        <f t="shared" si="14"/>
      </c>
      <c r="AA17" s="33">
        <f t="shared" si="17"/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7"/>
      <c r="AM17" s="27"/>
      <c r="AN17" s="27"/>
      <c r="AO17" s="27">
        <f t="shared" si="2"/>
      </c>
      <c r="AP17" s="35">
        <f t="shared" si="16"/>
      </c>
      <c r="AQ17" s="36">
        <f t="shared" si="3"/>
      </c>
      <c r="AR17" s="37">
        <f t="shared" si="4"/>
      </c>
      <c r="AS17" s="38">
        <f t="shared" si="5"/>
      </c>
      <c r="AT17" s="39" t="str">
        <f t="shared" si="6"/>
        <v>PASSED</v>
      </c>
    </row>
    <row r="18" s="1" customFormat="1" ht="15" customHeight="1">
      <c r="A18" s="25"/>
      <c r="B18" s="50"/>
      <c r="C18" s="26"/>
      <c r="D18" s="27"/>
      <c r="E18" s="27"/>
      <c r="F18" s="27"/>
      <c r="G18" s="27"/>
      <c r="H18" s="49">
        <f t="shared" si="7"/>
      </c>
      <c r="I18" s="32">
        <f t="shared" si="8"/>
      </c>
      <c r="J18" s="27">
        <f t="shared" si="9"/>
      </c>
      <c r="K18" s="40">
        <f t="shared" si="0"/>
      </c>
      <c r="L18" s="27">
        <f t="shared" si="10"/>
      </c>
      <c r="M18" s="32">
        <f t="shared" si="11"/>
      </c>
      <c r="N18" s="33">
        <f t="shared" si="1"/>
      </c>
      <c r="O18" s="27"/>
      <c r="P18" s="27"/>
      <c r="Q18" s="27"/>
      <c r="R18" s="27"/>
      <c r="S18" s="27"/>
      <c r="T18" s="27"/>
      <c r="U18" s="53"/>
      <c r="V18" s="53">
        <f t="shared" si="12"/>
      </c>
      <c r="W18" s="53"/>
      <c r="X18" s="53"/>
      <c r="Y18" s="27">
        <f t="shared" si="13"/>
      </c>
      <c r="Z18" s="32">
        <f t="shared" si="14"/>
      </c>
      <c r="AA18" s="33">
        <f t="shared" si="17"/>
      </c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7"/>
      <c r="AM18" s="27"/>
      <c r="AN18" s="27"/>
      <c r="AO18" s="27">
        <f t="shared" si="2"/>
      </c>
      <c r="AP18" s="35">
        <f t="shared" si="16"/>
      </c>
      <c r="AQ18" s="36">
        <f t="shared" si="3"/>
      </c>
      <c r="AR18" s="37">
        <f t="shared" si="4"/>
      </c>
      <c r="AS18" s="38">
        <f t="shared" si="5"/>
      </c>
      <c r="AT18" s="39" t="str">
        <f t="shared" si="6"/>
        <v>PASSED</v>
      </c>
    </row>
    <row r="19" s="1" customFormat="1" ht="15" customHeight="1">
      <c r="A19" s="25"/>
      <c r="B19" s="50"/>
      <c r="C19" s="26"/>
      <c r="D19" s="27"/>
      <c r="E19" s="27"/>
      <c r="F19" s="27"/>
      <c r="G19" s="27"/>
      <c r="H19" s="49">
        <f t="shared" si="7"/>
      </c>
      <c r="I19" s="32">
        <f t="shared" si="8"/>
      </c>
      <c r="J19" s="27">
        <f t="shared" si="9"/>
      </c>
      <c r="K19" s="40">
        <f t="shared" si="0"/>
      </c>
      <c r="L19" s="27">
        <f t="shared" si="10"/>
      </c>
      <c r="M19" s="32">
        <f t="shared" si="11"/>
      </c>
      <c r="N19" s="33">
        <f t="shared" si="1"/>
      </c>
      <c r="O19" s="27"/>
      <c r="P19" s="27"/>
      <c r="Q19" s="27"/>
      <c r="R19" s="27"/>
      <c r="S19" s="27"/>
      <c r="T19" s="27"/>
      <c r="U19" s="53"/>
      <c r="V19" s="53">
        <f t="shared" si="12"/>
      </c>
      <c r="W19" s="53"/>
      <c r="X19" s="53"/>
      <c r="Y19" s="27">
        <f t="shared" si="13"/>
      </c>
      <c r="Z19" s="32">
        <f t="shared" si="14"/>
      </c>
      <c r="AA19" s="33">
        <f t="shared" si="17"/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7"/>
      <c r="AM19" s="27"/>
      <c r="AN19" s="27"/>
      <c r="AO19" s="27">
        <f t="shared" si="2"/>
      </c>
      <c r="AP19" s="35">
        <f t="shared" si="16"/>
      </c>
      <c r="AQ19" s="36">
        <f t="shared" si="3"/>
      </c>
      <c r="AR19" s="37">
        <f t="shared" si="4"/>
      </c>
      <c r="AS19" s="38">
        <f t="shared" si="5"/>
      </c>
      <c r="AT19" s="39" t="str">
        <f t="shared" si="6"/>
        <v>PASSED</v>
      </c>
    </row>
    <row r="20" s="1" customFormat="1" ht="15" customHeight="1">
      <c r="A20" s="25"/>
      <c r="B20" s="50"/>
      <c r="C20" s="26"/>
      <c r="D20" s="27"/>
      <c r="E20" s="27"/>
      <c r="F20" s="27"/>
      <c r="G20" s="27"/>
      <c r="H20" s="49">
        <f t="shared" si="7"/>
      </c>
      <c r="I20" s="32">
        <f t="shared" si="8"/>
      </c>
      <c r="J20" s="27">
        <f t="shared" si="9"/>
      </c>
      <c r="K20" s="40">
        <f t="shared" ref="K20:K25" si="18">G20/100*50+50</f>
      </c>
      <c r="L20" s="27">
        <f t="shared" si="10"/>
      </c>
      <c r="M20" s="32">
        <f t="shared" si="11"/>
      </c>
      <c r="N20" s="33">
        <f t="shared" ref="N20:N25" si="19">SUM(M20)*40%</f>
      </c>
      <c r="O20" s="27"/>
      <c r="P20" s="27"/>
      <c r="Q20" s="27"/>
      <c r="R20" s="27"/>
      <c r="S20" s="27"/>
      <c r="T20" s="27"/>
      <c r="U20" s="53"/>
      <c r="V20" s="53">
        <f t="shared" si="12"/>
      </c>
      <c r="W20" s="53"/>
      <c r="X20" s="53"/>
      <c r="Y20" s="27">
        <f t="shared" si="13"/>
      </c>
      <c r="Z20" s="32">
        <f t="shared" si="14"/>
      </c>
      <c r="AA20" s="33">
        <f t="shared" ref="AA20:AA25" si="20">SUM(Z20)*40%</f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7"/>
      <c r="AM20" s="27"/>
      <c r="AN20" s="27"/>
      <c r="AO20" s="27">
        <f t="shared" ref="AO20:AO24" si="21">SUM(AL20:AN20)/3</f>
      </c>
      <c r="AP20" s="35">
        <f t="shared" si="16"/>
      </c>
      <c r="AQ20" s="36">
        <f t="shared" ref="AQ20:AQ24" si="22">SUM(AP20)*0.2</f>
      </c>
      <c r="AR20" s="37">
        <f t="shared" ref="AR20:AR24" si="23">SUM(N20,AA20,AQ20)</f>
      </c>
      <c r="AS20" s="38">
        <f t="shared" ref="AS20:AS24" si="24">IF(AR20&gt;=97.5,1,IF(AR20&gt;=94.5,1.25,IF(AR20&gt;=91.5,1.5,IF(AR20&gt;=88.5,1.75,IF(AR20&gt;=85.5,2,IF(AR20&gt;=82.5,2.25,IF(AR20&gt;=79.5,2.5,IF(AR20&gt;=77.5,2.75,IF(AR20&gt;=73.5,3,IF(AR20&gt;=71.5,4,5))))))))))</f>
      </c>
      <c r="AT20" s="39" t="str">
        <f t="shared" ref="AT20:AT24" si="25">IF(AS20&lt;5,"PASSED","FAILED")</f>
        <v>PASSED</v>
      </c>
    </row>
    <row r="21" s="1" customFormat="1" ht="15" customHeight="1">
      <c r="A21" s="25"/>
      <c r="B21" s="50"/>
      <c r="C21" s="26"/>
      <c r="D21" s="27"/>
      <c r="E21" s="27"/>
      <c r="F21" s="27"/>
      <c r="G21" s="27"/>
      <c r="H21" s="49">
        <f t="shared" si="7"/>
      </c>
      <c r="I21" s="32">
        <f t="shared" si="8"/>
      </c>
      <c r="J21" s="27">
        <f t="shared" si="9"/>
      </c>
      <c r="K21" s="40">
        <f t="shared" si="18"/>
      </c>
      <c r="L21" s="27">
        <f t="shared" si="10"/>
      </c>
      <c r="M21" s="32">
        <f t="shared" si="11"/>
      </c>
      <c r="N21" s="33">
        <f t="shared" si="19"/>
      </c>
      <c r="O21" s="27"/>
      <c r="P21" s="27"/>
      <c r="Q21" s="27"/>
      <c r="R21" s="27"/>
      <c r="S21" s="27"/>
      <c r="T21" s="27"/>
      <c r="U21" s="53"/>
      <c r="V21" s="53">
        <f t="shared" si="12"/>
      </c>
      <c r="W21" s="53"/>
      <c r="X21" s="53"/>
      <c r="Y21" s="27">
        <f t="shared" si="13"/>
      </c>
      <c r="Z21" s="32">
        <f t="shared" si="14"/>
      </c>
      <c r="AA21" s="33">
        <f t="shared" si="20"/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7"/>
      <c r="AM21" s="27"/>
      <c r="AN21" s="27"/>
      <c r="AO21" s="27">
        <f t="shared" si="21"/>
      </c>
      <c r="AP21" s="35">
        <f t="shared" si="16"/>
      </c>
      <c r="AQ21" s="36">
        <f t="shared" si="22"/>
      </c>
      <c r="AR21" s="37">
        <f t="shared" si="23"/>
      </c>
      <c r="AS21" s="38">
        <f t="shared" si="24"/>
      </c>
      <c r="AT21" s="39" t="str">
        <f t="shared" si="25"/>
        <v>PASSED</v>
      </c>
    </row>
    <row r="22" s="1" customFormat="1" ht="15" customHeight="1">
      <c r="A22" s="25"/>
      <c r="B22" s="50"/>
      <c r="C22" s="26"/>
      <c r="D22" s="27"/>
      <c r="E22" s="27"/>
      <c r="F22" s="27"/>
      <c r="G22" s="27"/>
      <c r="H22" s="49">
        <f t="shared" si="7"/>
      </c>
      <c r="I22" s="32">
        <f t="shared" si="8"/>
      </c>
      <c r="J22" s="27">
        <f t="shared" si="9"/>
      </c>
      <c r="K22" s="40">
        <f t="shared" si="18"/>
      </c>
      <c r="L22" s="27">
        <f t="shared" si="10"/>
      </c>
      <c r="M22" s="32">
        <f t="shared" si="11"/>
      </c>
      <c r="N22" s="33">
        <f t="shared" si="19"/>
      </c>
      <c r="O22" s="27"/>
      <c r="P22" s="27"/>
      <c r="Q22" s="27"/>
      <c r="R22" s="27"/>
      <c r="S22" s="27"/>
      <c r="T22" s="27"/>
      <c r="U22" s="53"/>
      <c r="V22" s="53">
        <f t="shared" si="12"/>
      </c>
      <c r="W22" s="53"/>
      <c r="X22" s="53"/>
      <c r="Y22" s="27">
        <f t="shared" si="13"/>
      </c>
      <c r="Z22" s="32">
        <f t="shared" si="14"/>
      </c>
      <c r="AA22" s="33">
        <f t="shared" si="20"/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7"/>
      <c r="AM22" s="27"/>
      <c r="AN22" s="27"/>
      <c r="AO22" s="27">
        <f t="shared" si="21"/>
      </c>
      <c r="AP22" s="35">
        <f t="shared" si="16"/>
      </c>
      <c r="AQ22" s="36">
        <f t="shared" si="22"/>
      </c>
      <c r="AR22" s="37">
        <f t="shared" si="23"/>
      </c>
      <c r="AS22" s="38">
        <f t="shared" si="24"/>
      </c>
      <c r="AT22" s="39" t="str">
        <f t="shared" si="25"/>
        <v>PASSED</v>
      </c>
    </row>
    <row r="23" s="1" customFormat="1" ht="15" customHeight="1">
      <c r="A23" s="25"/>
      <c r="B23" s="50"/>
      <c r="C23" s="26"/>
      <c r="D23" s="27"/>
      <c r="E23" s="27"/>
      <c r="F23" s="27"/>
      <c r="G23" s="27"/>
      <c r="H23" s="49">
        <f t="shared" si="7"/>
      </c>
      <c r="I23" s="32">
        <f t="shared" si="8"/>
      </c>
      <c r="J23" s="27">
        <f t="shared" si="9"/>
      </c>
      <c r="K23" s="40">
        <f t="shared" si="18"/>
      </c>
      <c r="L23" s="27">
        <f t="shared" si="10"/>
      </c>
      <c r="M23" s="32">
        <f t="shared" si="11"/>
      </c>
      <c r="N23" s="33">
        <f t="shared" si="19"/>
      </c>
      <c r="O23" s="27"/>
      <c r="P23" s="27"/>
      <c r="Q23" s="27"/>
      <c r="R23" s="27"/>
      <c r="S23" s="27"/>
      <c r="T23" s="27"/>
      <c r="U23" s="53"/>
      <c r="V23" s="53">
        <f t="shared" si="12"/>
      </c>
      <c r="W23" s="53"/>
      <c r="X23" s="53"/>
      <c r="Y23" s="27">
        <f t="shared" si="13"/>
      </c>
      <c r="Z23" s="32">
        <f t="shared" si="14"/>
      </c>
      <c r="AA23" s="33">
        <f t="shared" si="20"/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7"/>
      <c r="AM23" s="27"/>
      <c r="AN23" s="27"/>
      <c r="AO23" s="27">
        <f t="shared" si="21"/>
      </c>
      <c r="AP23" s="35">
        <f t="shared" si="16"/>
      </c>
      <c r="AQ23" s="36">
        <f t="shared" si="22"/>
      </c>
      <c r="AR23" s="37">
        <f t="shared" si="23"/>
      </c>
      <c r="AS23" s="38">
        <f t="shared" si="24"/>
      </c>
      <c r="AT23" s="39" t="str">
        <f t="shared" si="25"/>
        <v>PASSED</v>
      </c>
    </row>
    <row r="24" s="1" customFormat="1" ht="15" customHeight="1">
      <c r="A24" s="25"/>
      <c r="B24" s="51"/>
      <c r="C24" s="26"/>
      <c r="D24" s="27"/>
      <c r="E24" s="27"/>
      <c r="F24" s="27"/>
      <c r="G24" s="27"/>
      <c r="H24" s="49">
        <f t="shared" si="7"/>
      </c>
      <c r="I24" s="32">
        <f t="shared" si="8"/>
      </c>
      <c r="J24" s="27">
        <f t="shared" si="9"/>
      </c>
      <c r="K24" s="40">
        <f t="shared" si="18"/>
      </c>
      <c r="L24" s="27">
        <f t="shared" si="10"/>
      </c>
      <c r="M24" s="32">
        <f t="shared" si="11"/>
      </c>
      <c r="N24" s="33">
        <f t="shared" si="19"/>
      </c>
      <c r="O24" s="27"/>
      <c r="P24" s="27"/>
      <c r="Q24" s="27"/>
      <c r="R24" s="27"/>
      <c r="S24" s="27"/>
      <c r="T24" s="27"/>
      <c r="U24" s="53"/>
      <c r="V24" s="53">
        <f t="shared" si="12"/>
      </c>
      <c r="W24" s="53"/>
      <c r="X24" s="53"/>
      <c r="Y24" s="27">
        <f t="shared" si="13"/>
      </c>
      <c r="Z24" s="32">
        <f t="shared" si="14"/>
      </c>
      <c r="AA24" s="33">
        <f t="shared" si="20"/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7"/>
      <c r="AM24" s="27"/>
      <c r="AN24" s="27"/>
      <c r="AO24" s="27">
        <f t="shared" si="21"/>
      </c>
      <c r="AP24" s="35">
        <f t="shared" si="16"/>
      </c>
      <c r="AQ24" s="36">
        <f t="shared" si="22"/>
      </c>
      <c r="AR24" s="37">
        <f t="shared" si="23"/>
      </c>
      <c r="AS24" s="38">
        <f t="shared" si="24"/>
      </c>
      <c r="AT24" s="39" t="str">
        <f t="shared" si="25"/>
        <v>PASSED</v>
      </c>
    </row>
    <row r="25" s="1" customFormat="1" ht="15" customHeight="1">
      <c r="A25" s="25"/>
      <c r="B25" s="52"/>
      <c r="C25" s="26"/>
      <c r="D25" s="27"/>
      <c r="E25" s="27"/>
      <c r="F25" s="27"/>
      <c r="G25" s="27"/>
      <c r="H25" s="49">
        <f t="shared" si="7"/>
      </c>
      <c r="I25" s="32">
        <f t="shared" si="8"/>
      </c>
      <c r="J25" s="27">
        <f t="shared" si="9"/>
      </c>
      <c r="K25" s="40">
        <f t="shared" si="18"/>
      </c>
      <c r="L25" s="27">
        <f t="shared" si="10"/>
      </c>
      <c r="M25" s="32">
        <f t="shared" si="11"/>
      </c>
      <c r="N25" s="33">
        <f t="shared" si="19"/>
      </c>
      <c r="O25" s="27"/>
      <c r="P25" s="27"/>
      <c r="Q25" s="27"/>
      <c r="R25" s="27"/>
      <c r="S25" s="27"/>
      <c r="T25" s="27"/>
      <c r="U25" s="53"/>
      <c r="V25" s="53">
        <f t="shared" si="12"/>
      </c>
      <c r="W25" s="53"/>
      <c r="X25" s="53"/>
      <c r="Y25" s="27">
        <f t="shared" si="13"/>
      </c>
      <c r="Z25" s="32">
        <f t="shared" si="14"/>
      </c>
      <c r="AA25" s="33">
        <f t="shared" si="20"/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7"/>
      <c r="AM25" s="27"/>
      <c r="AN25" s="27"/>
      <c r="AO25" s="27"/>
      <c r="AP25" s="35">
        <f t="shared" si="16"/>
      </c>
      <c r="AQ25" s="36">
        <f t="shared" ref="AQ25" si="26">SUM(AP25)*0.2</f>
      </c>
      <c r="AR25" s="37">
        <f t="shared" ref="AR25" si="27">SUM(N25,AA25,AQ25)</f>
      </c>
      <c r="AS25" s="38">
        <f t="shared" ref="AS25" si="28">IF(AR25&gt;=97.5,1,IF(AR25&gt;=94.5,1.25,IF(AR25&gt;=91.5,1.5,IF(AR25&gt;=88.5,1.75,IF(AR25&gt;=85.5,2,IF(AR25&gt;=82.5,2.25,IF(AR25&gt;=79.5,2.5,IF(AR25&gt;=77.5,2.75,IF(AR25&gt;=73.5,3,IF(AR25&gt;=71.5,4,5))))))))))</f>
      </c>
      <c r="AT25" s="39" t="str">
        <f t="shared" ref="AT25" si="29">IF(AS25&lt;5,"PASSED","FAILED")</f>
        <v>PASSED</v>
      </c>
    </row>
    <row r="26">
      <c r="A26" s="67" t="str">
        <v>x-x-xNothing Followsx-x-x</v>
      </c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</row>
    <row r="27" s="2" customFormat="1" ht="13.199999809265137">
      <c r="A27" s="41"/>
      <c r="B27" s="42" t="s">
        <v>12</v>
      </c>
      <c r="C27" s="42"/>
      <c r="G27" s="2" t="s">
        <v>13</v>
      </c>
      <c r="N27" s="2" t="s">
        <v>13</v>
      </c>
      <c r="AQ27" s="2" t="s">
        <v>14</v>
      </c>
    </row>
    <row r="28" ht="13.5" customHeight="1">
      <c r="B28" s="43"/>
      <c r="C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Q28" s="43"/>
      <c r="AR28" s="43"/>
      <c r="AS28" s="43"/>
      <c r="AT28" s="43"/>
    </row>
    <row r="29" ht="13.5" customHeight="1">
      <c r="B29" s="34"/>
      <c r="C29" s="34"/>
      <c r="G29" s="5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P29" s="44"/>
      <c r="AQ29" s="4"/>
      <c r="AR29" s="101"/>
      <c r="AS29" s="101"/>
      <c r="AT29" s="101"/>
      <c r="AU29" s="101"/>
      <c r="AV29" s="101"/>
      <c r="AW29" s="101"/>
    </row>
    <row r="30" s="3" customFormat="1" ht="25.5" customHeight="1">
      <c r="A30" s="7"/>
      <c r="B30" s="45" t="s">
        <v>15</v>
      </c>
      <c r="C30" s="45"/>
      <c r="M30" s="70" t="s">
        <v>16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R30" s="72" t="s">
        <v>17</v>
      </c>
      <c r="AS30" s="72"/>
      <c r="AT30" s="72"/>
    </row>
    <row r="31" s="1" customFormat="1" ht="13.199999809265137">
      <c r="A31" s="34"/>
      <c r="B31" s="34"/>
      <c r="C31" s="3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</row>
  </sheetData>
  <mergeCells>
    <mergeCell ref="AR29:AW29"/>
    <mergeCell ref="B1:AN1"/>
    <mergeCell ref="AO1:AU1"/>
    <mergeCell ref="B2:AA2"/>
    <mergeCell ref="AP2:AQ2"/>
    <mergeCell ref="AR2:AT2"/>
    <mergeCell ref="A3:B3"/>
    <mergeCell ref="AP3:AQ3"/>
    <mergeCell ref="AR3:AT3"/>
    <mergeCell ref="A4:B4"/>
    <mergeCell ref="B5:AT5"/>
    <mergeCell ref="A6:B6"/>
    <mergeCell ref="A7:AT7"/>
    <mergeCell ref="D8:L8"/>
    <mergeCell ref="O8:Y8"/>
    <mergeCell ref="AL8:AO8"/>
    <mergeCell ref="A8:B9"/>
    <mergeCell ref="AA31:AT31"/>
    <mergeCell ref="M8:M9"/>
    <mergeCell ref="N8:N9"/>
    <mergeCell ref="Z8:Z9"/>
    <mergeCell ref="AA8:AA9"/>
    <mergeCell ref="AP8:AP9"/>
    <mergeCell ref="AQ8:AQ9"/>
    <mergeCell ref="AR8:AR9"/>
    <mergeCell ref="AS8:AS9"/>
    <mergeCell ref="AT8:AT9"/>
    <mergeCell ref="A26:AT26"/>
    <mergeCell ref="M29:Z29"/>
    <mergeCell ref="M30:Z30"/>
    <mergeCell ref="AA30:AP30"/>
    <mergeCell ref="AR30:AT30"/>
  </mergeCells>
  <conditionalFormatting sqref="AT10:AT25">
    <cfRule type="cellIs" dxfId="1" priority="2" stopIfTrue="1" operator="equal">
      <formula>"Failed"</formula>
    </cfRule>
  </conditionalFormatting>
  <conditionalFormatting sqref="AR10:AS25">
    <cfRule type="cellIs" dxfId="0" priority="1" stopIfTrue="1" operator="lessThan">
      <formula>74.5</formula>
    </cfRule>
  </conditionalFormatting>
  <pageMargins left="0.7" right="0.7" top="0.75" bottom="0.75" header="0.3" footer="0.3"/>
  <drawing xmlns:r="http://schemas.openxmlformats.org/officeDocument/2006/relationships" r:id="R6b85c7267a994dcf"/>
</worksheet>
</file>